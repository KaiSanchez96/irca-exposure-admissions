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i unidad\2do año\"/>
    </mc:Choice>
  </mc:AlternateContent>
  <xr:revisionPtr revIDLastSave="0" documentId="13_ncr:1_{46DA64AF-7FE3-4E98-9238-0D34D77DAEDA}" xr6:coauthVersionLast="47" xr6:coauthVersionMax="47" xr10:uidLastSave="{00000000-0000-0000-0000-000000000000}"/>
  <bookViews>
    <workbookView xWindow="-108" yWindow="-108" windowWidth="23256" windowHeight="12456" firstSheet="4" activeTab="18" xr2:uid="{00000000-000D-0000-FFFF-FFFF00000000}"/>
  </bookViews>
  <sheets>
    <sheet name="1982" sheetId="1" r:id="rId1"/>
    <sheet name="1983" sheetId="2" r:id="rId2"/>
    <sheet name="1984" sheetId="3" r:id="rId3"/>
    <sheet name="1985" sheetId="4" r:id="rId4"/>
    <sheet name="1986" sheetId="5" r:id="rId5"/>
    <sheet name="1987" sheetId="6" r:id="rId6"/>
    <sheet name="1988" sheetId="7" r:id="rId7"/>
    <sheet name="1989" sheetId="8" r:id="rId8"/>
    <sheet name="1990" sheetId="10" r:id="rId9"/>
    <sheet name="1991" sheetId="11" r:id="rId10"/>
    <sheet name="1992" sheetId="12" r:id="rId11"/>
    <sheet name="1993" sheetId="13" r:id="rId12"/>
    <sheet name="1994" sheetId="14" r:id="rId13"/>
    <sheet name="1995" sheetId="15" r:id="rId14"/>
    <sheet name="1996" sheetId="16" r:id="rId15"/>
    <sheet name="1997" sheetId="17" r:id="rId16"/>
    <sheet name="1998" sheetId="18" r:id="rId17"/>
    <sheet name="1999" sheetId="19" r:id="rId18"/>
    <sheet name="2000" sheetId="20" r:id="rId19"/>
  </sheets>
  <calcPr calcId="191029"/>
  <extLst>
    <ext uri="GoogleSheetsCustomDataVersion2">
      <go:sheetsCustomData xmlns:go="http://customooxmlschemas.google.com/" r:id="rId20" roundtripDataChecksum="B6oiWKUtf5qAu4oPFpiE2NI6HBEVYQO2o3AL07TOWec="/>
    </ext>
  </extLst>
</workbook>
</file>

<file path=xl/calcChain.xml><?xml version="1.0" encoding="utf-8"?>
<calcChain xmlns="http://schemas.openxmlformats.org/spreadsheetml/2006/main">
  <c r="I21" i="14" l="1"/>
  <c r="H21" i="14"/>
  <c r="G21" i="14"/>
  <c r="F21" i="14"/>
  <c r="E21" i="14"/>
  <c r="D21" i="14"/>
  <c r="C21" i="14"/>
  <c r="I20" i="14"/>
  <c r="H20" i="14"/>
  <c r="G20" i="14"/>
  <c r="F20" i="14"/>
  <c r="E20" i="14"/>
  <c r="K20" i="14" s="1"/>
  <c r="D20" i="14"/>
  <c r="C20" i="14"/>
  <c r="I3" i="14"/>
  <c r="H3" i="14"/>
  <c r="G3" i="14"/>
  <c r="F3" i="14"/>
  <c r="E3" i="14"/>
  <c r="D3" i="14"/>
  <c r="C3" i="14"/>
  <c r="I2" i="14"/>
  <c r="H2" i="14"/>
  <c r="G2" i="14"/>
  <c r="K2" i="14" s="1"/>
  <c r="F2" i="14"/>
  <c r="E2" i="14"/>
  <c r="D2" i="14"/>
  <c r="C2" i="14"/>
  <c r="I15" i="14"/>
  <c r="H15" i="14"/>
  <c r="G15" i="14"/>
  <c r="F15" i="14"/>
  <c r="E15" i="14"/>
  <c r="D15" i="14"/>
  <c r="C15" i="14"/>
  <c r="I14" i="14"/>
  <c r="K14" i="14" s="1"/>
  <c r="H14" i="14"/>
  <c r="G14" i="14"/>
  <c r="F14" i="14"/>
  <c r="E14" i="14"/>
  <c r="D14" i="14"/>
  <c r="C14" i="14"/>
  <c r="I12" i="14"/>
  <c r="H12" i="14"/>
  <c r="G12" i="14"/>
  <c r="F12" i="14"/>
  <c r="E12" i="14"/>
  <c r="D12" i="14"/>
  <c r="C12" i="14"/>
  <c r="I11" i="14"/>
  <c r="H11" i="14"/>
  <c r="G11" i="14"/>
  <c r="F11" i="14"/>
  <c r="E11" i="14"/>
  <c r="D11" i="14"/>
  <c r="C11" i="14"/>
  <c r="I9" i="14"/>
  <c r="H9" i="14"/>
  <c r="G9" i="14"/>
  <c r="F9" i="14"/>
  <c r="E9" i="14"/>
  <c r="D9" i="14"/>
  <c r="C9" i="14"/>
  <c r="I8" i="14"/>
  <c r="H8" i="14"/>
  <c r="G8" i="14"/>
  <c r="F8" i="14"/>
  <c r="E8" i="14"/>
  <c r="D8" i="14"/>
  <c r="C8" i="14"/>
  <c r="I6" i="14"/>
  <c r="H6" i="14"/>
  <c r="G6" i="14"/>
  <c r="F6" i="14"/>
  <c r="E6" i="14"/>
  <c r="D6" i="14"/>
  <c r="C6" i="14"/>
  <c r="J5" i="14"/>
  <c r="I5" i="14"/>
  <c r="H5" i="14"/>
  <c r="G5" i="14"/>
  <c r="F5" i="14"/>
  <c r="E5" i="14"/>
  <c r="D5" i="14"/>
  <c r="C5" i="14"/>
  <c r="I18" i="14"/>
  <c r="H18" i="14"/>
  <c r="G18" i="14"/>
  <c r="F18" i="14"/>
  <c r="E18" i="14"/>
  <c r="D18" i="14"/>
  <c r="C18" i="14"/>
  <c r="K18" i="14" s="1"/>
  <c r="I17" i="14"/>
  <c r="H17" i="14"/>
  <c r="G17" i="14"/>
  <c r="F17" i="14"/>
  <c r="E17" i="14"/>
  <c r="D17" i="14"/>
  <c r="C17" i="14"/>
  <c r="I21" i="13"/>
  <c r="H21" i="13"/>
  <c r="G21" i="13"/>
  <c r="F21" i="13"/>
  <c r="E21" i="13"/>
  <c r="D21" i="13"/>
  <c r="C21" i="13"/>
  <c r="I20" i="13"/>
  <c r="K20" i="13" s="1"/>
  <c r="H20" i="13"/>
  <c r="G20" i="13"/>
  <c r="F20" i="13"/>
  <c r="E20" i="13"/>
  <c r="D20" i="13"/>
  <c r="C20" i="13"/>
  <c r="I3" i="13"/>
  <c r="H3" i="13"/>
  <c r="G3" i="13"/>
  <c r="F3" i="13"/>
  <c r="E3" i="13"/>
  <c r="D3" i="13"/>
  <c r="K3" i="13" s="1"/>
  <c r="C3" i="13"/>
  <c r="J2" i="13"/>
  <c r="I2" i="13"/>
  <c r="H2" i="13"/>
  <c r="G2" i="13"/>
  <c r="F2" i="13"/>
  <c r="E2" i="13"/>
  <c r="D2" i="13"/>
  <c r="C2" i="13"/>
  <c r="I15" i="13"/>
  <c r="H15" i="13"/>
  <c r="G15" i="13"/>
  <c r="F15" i="13"/>
  <c r="E15" i="13"/>
  <c r="D15" i="13"/>
  <c r="C15" i="13"/>
  <c r="I14" i="13"/>
  <c r="H14" i="13"/>
  <c r="G14" i="13"/>
  <c r="F14" i="13"/>
  <c r="E14" i="13"/>
  <c r="D14" i="13"/>
  <c r="C14" i="13"/>
  <c r="J12" i="13"/>
  <c r="I12" i="13"/>
  <c r="H12" i="13"/>
  <c r="G12" i="13"/>
  <c r="F12" i="13"/>
  <c r="E12" i="13"/>
  <c r="D12" i="13"/>
  <c r="C12" i="13"/>
  <c r="I11" i="13"/>
  <c r="H11" i="13"/>
  <c r="G11" i="13"/>
  <c r="F11" i="13"/>
  <c r="E11" i="13"/>
  <c r="K11" i="13" s="1"/>
  <c r="D11" i="13"/>
  <c r="C11" i="13"/>
  <c r="I9" i="13"/>
  <c r="H9" i="13"/>
  <c r="G9" i="13"/>
  <c r="F9" i="13"/>
  <c r="E9" i="13"/>
  <c r="D9" i="13"/>
  <c r="C9" i="13"/>
  <c r="J8" i="13"/>
  <c r="I8" i="13"/>
  <c r="H8" i="13"/>
  <c r="G8" i="13"/>
  <c r="F8" i="13"/>
  <c r="E8" i="13"/>
  <c r="D8" i="13"/>
  <c r="C8" i="13"/>
  <c r="I6" i="13"/>
  <c r="H6" i="13"/>
  <c r="G6" i="13"/>
  <c r="F6" i="13"/>
  <c r="E6" i="13"/>
  <c r="D6" i="13"/>
  <c r="C6" i="13"/>
  <c r="I5" i="13"/>
  <c r="H5" i="13"/>
  <c r="G5" i="13"/>
  <c r="F5" i="13"/>
  <c r="E5" i="13"/>
  <c r="D5" i="13"/>
  <c r="K5" i="13" s="1"/>
  <c r="C5" i="13"/>
  <c r="I18" i="13"/>
  <c r="H18" i="13"/>
  <c r="G18" i="13"/>
  <c r="F18" i="13"/>
  <c r="E18" i="13"/>
  <c r="D18" i="13"/>
  <c r="C18" i="13"/>
  <c r="I17" i="13"/>
  <c r="H17" i="13"/>
  <c r="G17" i="13"/>
  <c r="F17" i="13"/>
  <c r="E17" i="13"/>
  <c r="D17" i="13"/>
  <c r="C17" i="13"/>
  <c r="I21" i="12"/>
  <c r="H21" i="12"/>
  <c r="G21" i="12"/>
  <c r="F21" i="12"/>
  <c r="E21" i="12"/>
  <c r="D21" i="12"/>
  <c r="C21" i="12"/>
  <c r="I20" i="12"/>
  <c r="H20" i="12"/>
  <c r="G20" i="12"/>
  <c r="F20" i="12"/>
  <c r="K20" i="12" s="1"/>
  <c r="E20" i="12"/>
  <c r="D20" i="12"/>
  <c r="C20" i="12"/>
  <c r="K4" i="12"/>
  <c r="I3" i="12"/>
  <c r="H3" i="12"/>
  <c r="G3" i="12"/>
  <c r="F3" i="12"/>
  <c r="E3" i="12"/>
  <c r="D3" i="12"/>
  <c r="C3" i="12"/>
  <c r="I2" i="12"/>
  <c r="K2" i="12" s="1"/>
  <c r="H2" i="12"/>
  <c r="G2" i="12"/>
  <c r="F2" i="12"/>
  <c r="E2" i="12"/>
  <c r="D2" i="12"/>
  <c r="C2" i="12"/>
  <c r="I15" i="12"/>
  <c r="H15" i="12"/>
  <c r="G15" i="12"/>
  <c r="F15" i="12"/>
  <c r="E15" i="12"/>
  <c r="D15" i="12"/>
  <c r="C15" i="12"/>
  <c r="I14" i="12"/>
  <c r="H14" i="12"/>
  <c r="G14" i="12"/>
  <c r="F14" i="12"/>
  <c r="E14" i="12"/>
  <c r="D14" i="12"/>
  <c r="C14" i="12"/>
  <c r="K14" i="12" s="1"/>
  <c r="C12" i="12"/>
  <c r="I12" i="12"/>
  <c r="H12" i="12"/>
  <c r="G12" i="12"/>
  <c r="F12" i="12"/>
  <c r="E12" i="12"/>
  <c r="D12" i="12"/>
  <c r="J11" i="12"/>
  <c r="I11" i="12"/>
  <c r="H11" i="12"/>
  <c r="G11" i="12"/>
  <c r="F11" i="12"/>
  <c r="E11" i="12"/>
  <c r="D11" i="12"/>
  <c r="C11" i="12"/>
  <c r="I9" i="12"/>
  <c r="K9" i="12" s="1"/>
  <c r="H9" i="12"/>
  <c r="G9" i="12"/>
  <c r="F9" i="12"/>
  <c r="E9" i="12"/>
  <c r="D9" i="12"/>
  <c r="C9" i="12"/>
  <c r="I8" i="12"/>
  <c r="H8" i="12"/>
  <c r="G8" i="12"/>
  <c r="F8" i="12"/>
  <c r="E8" i="12"/>
  <c r="D8" i="12"/>
  <c r="C8" i="12"/>
  <c r="I6" i="12"/>
  <c r="H6" i="12"/>
  <c r="G6" i="12"/>
  <c r="F6" i="12"/>
  <c r="E6" i="12"/>
  <c r="D6" i="12"/>
  <c r="C6" i="12"/>
  <c r="K6" i="12" s="1"/>
  <c r="I5" i="12"/>
  <c r="H5" i="12"/>
  <c r="G5" i="12"/>
  <c r="F5" i="12"/>
  <c r="E5" i="12"/>
  <c r="D5" i="12"/>
  <c r="C5" i="12"/>
  <c r="I18" i="12"/>
  <c r="H18" i="12"/>
  <c r="G18" i="12"/>
  <c r="F18" i="12"/>
  <c r="E18" i="12"/>
  <c r="D18" i="12"/>
  <c r="C18" i="12"/>
  <c r="I17" i="12"/>
  <c r="H17" i="12"/>
  <c r="G17" i="12"/>
  <c r="F17" i="12"/>
  <c r="E17" i="12"/>
  <c r="D17" i="12"/>
  <c r="C17" i="12"/>
  <c r="I21" i="11"/>
  <c r="H21" i="11"/>
  <c r="G21" i="11"/>
  <c r="F21" i="11"/>
  <c r="E21" i="11"/>
  <c r="D21" i="11"/>
  <c r="C21" i="11"/>
  <c r="I20" i="11"/>
  <c r="H20" i="11"/>
  <c r="G20" i="11"/>
  <c r="F20" i="11"/>
  <c r="E20" i="11"/>
  <c r="D20" i="11"/>
  <c r="C20" i="11"/>
  <c r="K20" i="11" s="1"/>
  <c r="K4" i="11"/>
  <c r="J3" i="11"/>
  <c r="I3" i="11"/>
  <c r="K3" i="11" s="1"/>
  <c r="H3" i="11"/>
  <c r="G3" i="11"/>
  <c r="F3" i="11"/>
  <c r="E3" i="11"/>
  <c r="D3" i="11"/>
  <c r="C3" i="11"/>
  <c r="J2" i="11"/>
  <c r="I2" i="11"/>
  <c r="H2" i="11"/>
  <c r="G2" i="11"/>
  <c r="F2" i="11"/>
  <c r="E2" i="11"/>
  <c r="D2" i="11"/>
  <c r="C2" i="11"/>
  <c r="I15" i="11"/>
  <c r="H15" i="11"/>
  <c r="G15" i="11"/>
  <c r="F15" i="11"/>
  <c r="E15" i="11"/>
  <c r="D15" i="11"/>
  <c r="C15" i="11"/>
  <c r="I14" i="11"/>
  <c r="H14" i="11"/>
  <c r="G14" i="11"/>
  <c r="F14" i="11"/>
  <c r="E14" i="11"/>
  <c r="D14" i="11"/>
  <c r="C14" i="11"/>
  <c r="I12" i="11"/>
  <c r="H12" i="11"/>
  <c r="G12" i="11"/>
  <c r="F12" i="11"/>
  <c r="E12" i="11"/>
  <c r="D12" i="11"/>
  <c r="C12" i="11"/>
  <c r="I11" i="11"/>
  <c r="H11" i="11"/>
  <c r="G11" i="11"/>
  <c r="F11" i="11"/>
  <c r="E11" i="11"/>
  <c r="D11" i="11"/>
  <c r="C11" i="11"/>
  <c r="I9" i="11"/>
  <c r="H9" i="11"/>
  <c r="G9" i="11"/>
  <c r="F9" i="11"/>
  <c r="E9" i="11"/>
  <c r="D9" i="11"/>
  <c r="C9" i="11"/>
  <c r="I8" i="11"/>
  <c r="H8" i="11"/>
  <c r="G8" i="11"/>
  <c r="F8" i="11"/>
  <c r="E8" i="11"/>
  <c r="D8" i="11"/>
  <c r="C8" i="11"/>
  <c r="J6" i="11"/>
  <c r="I6" i="11"/>
  <c r="H6" i="11"/>
  <c r="G6" i="11"/>
  <c r="F6" i="11"/>
  <c r="E6" i="11"/>
  <c r="D6" i="11"/>
  <c r="C6" i="11"/>
  <c r="J5" i="11"/>
  <c r="I5" i="11"/>
  <c r="H5" i="11"/>
  <c r="G5" i="11"/>
  <c r="F5" i="11"/>
  <c r="E5" i="11"/>
  <c r="D5" i="11"/>
  <c r="C5" i="11"/>
  <c r="I18" i="11"/>
  <c r="H18" i="11"/>
  <c r="G18" i="11"/>
  <c r="F18" i="11"/>
  <c r="E18" i="11"/>
  <c r="D18" i="11"/>
  <c r="C18" i="11"/>
  <c r="I17" i="11"/>
  <c r="H17" i="11"/>
  <c r="G17" i="11"/>
  <c r="F17" i="11"/>
  <c r="E17" i="11"/>
  <c r="D17" i="11"/>
  <c r="C17" i="11"/>
  <c r="I21" i="10"/>
  <c r="H21" i="10"/>
  <c r="K21" i="10" s="1"/>
  <c r="G21" i="10"/>
  <c r="F21" i="10"/>
  <c r="E21" i="10"/>
  <c r="D21" i="10"/>
  <c r="C21" i="10"/>
  <c r="I20" i="10"/>
  <c r="H20" i="10"/>
  <c r="G20" i="10"/>
  <c r="F20" i="10"/>
  <c r="E20" i="10"/>
  <c r="D20" i="10"/>
  <c r="C20" i="10"/>
  <c r="K4" i="10"/>
  <c r="I3" i="10"/>
  <c r="H3" i="10"/>
  <c r="G3" i="10"/>
  <c r="F3" i="10"/>
  <c r="E3" i="10"/>
  <c r="D3" i="10"/>
  <c r="C3" i="10"/>
  <c r="J2" i="10"/>
  <c r="I2" i="10"/>
  <c r="H2" i="10"/>
  <c r="G2" i="10"/>
  <c r="F2" i="10"/>
  <c r="E2" i="10"/>
  <c r="D2" i="10"/>
  <c r="C2" i="10"/>
  <c r="I15" i="10"/>
  <c r="H15" i="10"/>
  <c r="G15" i="10"/>
  <c r="F15" i="10"/>
  <c r="E15" i="10"/>
  <c r="D15" i="10"/>
  <c r="C15" i="10"/>
  <c r="I14" i="10"/>
  <c r="H14" i="10"/>
  <c r="G14" i="10"/>
  <c r="F14" i="10"/>
  <c r="E14" i="10"/>
  <c r="D14" i="10"/>
  <c r="C14" i="10"/>
  <c r="J12" i="10"/>
  <c r="I12" i="10"/>
  <c r="H12" i="10"/>
  <c r="G12" i="10"/>
  <c r="F12" i="10"/>
  <c r="E12" i="10"/>
  <c r="D12" i="10"/>
  <c r="C12" i="10"/>
  <c r="I11" i="10"/>
  <c r="H11" i="10"/>
  <c r="G11" i="10"/>
  <c r="F11" i="10"/>
  <c r="E11" i="10"/>
  <c r="D11" i="10"/>
  <c r="C11" i="10"/>
  <c r="I9" i="10"/>
  <c r="H9" i="10"/>
  <c r="G9" i="10"/>
  <c r="F9" i="10"/>
  <c r="E9" i="10"/>
  <c r="D9" i="10"/>
  <c r="C9" i="10"/>
  <c r="I8" i="10"/>
  <c r="H8" i="10"/>
  <c r="G8" i="10"/>
  <c r="F8" i="10"/>
  <c r="E8" i="10"/>
  <c r="D8" i="10"/>
  <c r="K8" i="10" s="1"/>
  <c r="C8" i="10"/>
  <c r="I6" i="10"/>
  <c r="H6" i="10"/>
  <c r="G6" i="10"/>
  <c r="F6" i="10"/>
  <c r="E6" i="10"/>
  <c r="D6" i="10"/>
  <c r="C6" i="10"/>
  <c r="I5" i="10"/>
  <c r="H5" i="10"/>
  <c r="G5" i="10"/>
  <c r="F5" i="10"/>
  <c r="E5" i="10"/>
  <c r="D5" i="10"/>
  <c r="C5" i="10"/>
  <c r="I18" i="10"/>
  <c r="H18" i="10"/>
  <c r="G18" i="10"/>
  <c r="F18" i="10"/>
  <c r="E18" i="10"/>
  <c r="D18" i="10"/>
  <c r="C18" i="10"/>
  <c r="I17" i="10"/>
  <c r="H17" i="10"/>
  <c r="G17" i="10"/>
  <c r="F17" i="10"/>
  <c r="E17" i="10"/>
  <c r="D17" i="10"/>
  <c r="C17" i="10"/>
  <c r="J21" i="8"/>
  <c r="K21" i="8" s="1"/>
  <c r="I21" i="8"/>
  <c r="H21" i="8"/>
  <c r="G21" i="8"/>
  <c r="F21" i="8"/>
  <c r="E21" i="8"/>
  <c r="D21" i="8"/>
  <c r="C21" i="8"/>
  <c r="J20" i="8"/>
  <c r="I20" i="8"/>
  <c r="H20" i="8"/>
  <c r="G20" i="8"/>
  <c r="F20" i="8"/>
  <c r="E20" i="8"/>
  <c r="D20" i="8"/>
  <c r="C20" i="8"/>
  <c r="K4" i="8"/>
  <c r="I3" i="8"/>
  <c r="H3" i="8"/>
  <c r="G3" i="8"/>
  <c r="F3" i="8"/>
  <c r="E3" i="8"/>
  <c r="D3" i="8"/>
  <c r="C3" i="8"/>
  <c r="I2" i="8"/>
  <c r="K2" i="8" s="1"/>
  <c r="H2" i="8"/>
  <c r="G2" i="8"/>
  <c r="F2" i="8"/>
  <c r="E2" i="8"/>
  <c r="D2" i="8"/>
  <c r="C2" i="8"/>
  <c r="I15" i="8"/>
  <c r="H15" i="8"/>
  <c r="G15" i="8"/>
  <c r="F15" i="8"/>
  <c r="E15" i="8"/>
  <c r="D15" i="8"/>
  <c r="C15" i="8"/>
  <c r="I14" i="8"/>
  <c r="H14" i="8"/>
  <c r="G14" i="8"/>
  <c r="F14" i="8"/>
  <c r="E14" i="8"/>
  <c r="D14" i="8"/>
  <c r="C14" i="8"/>
  <c r="I12" i="8"/>
  <c r="H12" i="8"/>
  <c r="G12" i="8"/>
  <c r="F12" i="8"/>
  <c r="E12" i="8"/>
  <c r="D12" i="8"/>
  <c r="C12" i="8"/>
  <c r="J11" i="8"/>
  <c r="I11" i="8"/>
  <c r="H11" i="8"/>
  <c r="G11" i="8"/>
  <c r="F11" i="8"/>
  <c r="E11" i="8"/>
  <c r="D11" i="8"/>
  <c r="K11" i="8" s="1"/>
  <c r="C11" i="8"/>
  <c r="I9" i="8"/>
  <c r="H9" i="8"/>
  <c r="G9" i="8"/>
  <c r="F9" i="8"/>
  <c r="E9" i="8"/>
  <c r="D9" i="8"/>
  <c r="C9" i="8"/>
  <c r="I8" i="8"/>
  <c r="H8" i="8"/>
  <c r="G8" i="8"/>
  <c r="F8" i="8"/>
  <c r="E8" i="8"/>
  <c r="D8" i="8"/>
  <c r="C8" i="8"/>
  <c r="I6" i="8"/>
  <c r="H6" i="8"/>
  <c r="G6" i="8"/>
  <c r="F6" i="8"/>
  <c r="E6" i="8"/>
  <c r="D6" i="8"/>
  <c r="C6" i="8"/>
  <c r="J5" i="8"/>
  <c r="I5" i="8"/>
  <c r="H5" i="8"/>
  <c r="G5" i="8"/>
  <c r="F5" i="8"/>
  <c r="E5" i="8"/>
  <c r="D5" i="8"/>
  <c r="C5" i="8"/>
  <c r="I18" i="8"/>
  <c r="H18" i="8"/>
  <c r="G18" i="8"/>
  <c r="F18" i="8"/>
  <c r="E18" i="8"/>
  <c r="D18" i="8"/>
  <c r="C18" i="8"/>
  <c r="I17" i="8"/>
  <c r="K17" i="8" s="1"/>
  <c r="H17" i="8"/>
  <c r="G17" i="8"/>
  <c r="F17" i="8"/>
  <c r="E17" i="8"/>
  <c r="D17" i="8"/>
  <c r="C17" i="8"/>
  <c r="I21" i="7"/>
  <c r="H21" i="7"/>
  <c r="K21" i="7" s="1"/>
  <c r="G21" i="7"/>
  <c r="F21" i="7"/>
  <c r="E21" i="7"/>
  <c r="D21" i="7"/>
  <c r="C21" i="7"/>
  <c r="I20" i="7"/>
  <c r="H20" i="7"/>
  <c r="G20" i="7"/>
  <c r="F20" i="7"/>
  <c r="E20" i="7"/>
  <c r="D20" i="7"/>
  <c r="C20" i="7"/>
  <c r="I3" i="7"/>
  <c r="H3" i="7"/>
  <c r="G3" i="7"/>
  <c r="F3" i="7"/>
  <c r="E3" i="7"/>
  <c r="D3" i="7"/>
  <c r="C3" i="7"/>
  <c r="I2" i="7"/>
  <c r="H2" i="7"/>
  <c r="G2" i="7"/>
  <c r="F2" i="7"/>
  <c r="E2" i="7"/>
  <c r="D2" i="7"/>
  <c r="C2" i="7"/>
  <c r="I15" i="7"/>
  <c r="H15" i="7"/>
  <c r="G15" i="7"/>
  <c r="F15" i="7"/>
  <c r="E15" i="7"/>
  <c r="D15" i="7"/>
  <c r="C15" i="7"/>
  <c r="I14" i="7"/>
  <c r="H14" i="7"/>
  <c r="G14" i="7"/>
  <c r="F14" i="7"/>
  <c r="E14" i="7"/>
  <c r="D14" i="7"/>
  <c r="C14" i="7"/>
  <c r="I12" i="7"/>
  <c r="H12" i="7"/>
  <c r="G12" i="7"/>
  <c r="F12" i="7"/>
  <c r="E12" i="7"/>
  <c r="D12" i="7"/>
  <c r="C12" i="7"/>
  <c r="I11" i="7"/>
  <c r="K11" i="7" s="1"/>
  <c r="H11" i="7"/>
  <c r="G11" i="7"/>
  <c r="F11" i="7"/>
  <c r="E11" i="7"/>
  <c r="D11" i="7"/>
  <c r="C11" i="7"/>
  <c r="I9" i="7"/>
  <c r="H9" i="7"/>
  <c r="G9" i="7"/>
  <c r="F9" i="7"/>
  <c r="E9" i="7"/>
  <c r="D9" i="7"/>
  <c r="C9" i="7"/>
  <c r="I8" i="7"/>
  <c r="H8" i="7"/>
  <c r="G8" i="7"/>
  <c r="F8" i="7"/>
  <c r="E8" i="7"/>
  <c r="D8" i="7"/>
  <c r="C8" i="7"/>
  <c r="I6" i="7"/>
  <c r="H6" i="7"/>
  <c r="G6" i="7"/>
  <c r="F6" i="7"/>
  <c r="E6" i="7"/>
  <c r="D6" i="7"/>
  <c r="C6" i="7"/>
  <c r="I5" i="7"/>
  <c r="H5" i="7"/>
  <c r="G5" i="7"/>
  <c r="F5" i="7"/>
  <c r="E5" i="7"/>
  <c r="D5" i="7"/>
  <c r="C5" i="7"/>
  <c r="I18" i="7"/>
  <c r="H18" i="7"/>
  <c r="K18" i="7" s="1"/>
  <c r="G18" i="7"/>
  <c r="F18" i="7"/>
  <c r="E18" i="7"/>
  <c r="D18" i="7"/>
  <c r="C18" i="7"/>
  <c r="I17" i="7"/>
  <c r="H17" i="7"/>
  <c r="G17" i="7"/>
  <c r="F17" i="7"/>
  <c r="E17" i="7"/>
  <c r="D17" i="7"/>
  <c r="C17" i="7"/>
  <c r="I21" i="6"/>
  <c r="H21" i="6"/>
  <c r="G21" i="6"/>
  <c r="F21" i="6"/>
  <c r="E21" i="6"/>
  <c r="D21" i="6"/>
  <c r="C21" i="6"/>
  <c r="I20" i="6"/>
  <c r="H20" i="6"/>
  <c r="G20" i="6"/>
  <c r="F20" i="6"/>
  <c r="E20" i="6"/>
  <c r="K20" i="6" s="1"/>
  <c r="D20" i="6"/>
  <c r="C20" i="6"/>
  <c r="I3" i="6"/>
  <c r="H3" i="6"/>
  <c r="G3" i="6"/>
  <c r="F3" i="6"/>
  <c r="E3" i="6"/>
  <c r="D3" i="6"/>
  <c r="C3" i="6"/>
  <c r="I2" i="6"/>
  <c r="H2" i="6"/>
  <c r="G2" i="6"/>
  <c r="K2" i="6" s="1"/>
  <c r="F2" i="6"/>
  <c r="E2" i="6"/>
  <c r="D2" i="6"/>
  <c r="C2" i="6"/>
  <c r="I15" i="6"/>
  <c r="H15" i="6"/>
  <c r="G15" i="6"/>
  <c r="F15" i="6"/>
  <c r="E15" i="6"/>
  <c r="D15" i="6"/>
  <c r="C15" i="6"/>
  <c r="I14" i="6"/>
  <c r="K14" i="6" s="1"/>
  <c r="H14" i="6"/>
  <c r="G14" i="6"/>
  <c r="F14" i="6"/>
  <c r="E14" i="6"/>
  <c r="D14" i="6"/>
  <c r="C14" i="6"/>
  <c r="I12" i="6"/>
  <c r="H12" i="6"/>
  <c r="G12" i="6"/>
  <c r="F12" i="6"/>
  <c r="E12" i="6"/>
  <c r="D12" i="6"/>
  <c r="C12" i="6"/>
  <c r="I11" i="6"/>
  <c r="H11" i="6"/>
  <c r="G11" i="6"/>
  <c r="F11" i="6"/>
  <c r="E11" i="6"/>
  <c r="D11" i="6"/>
  <c r="C11" i="6"/>
  <c r="I9" i="6"/>
  <c r="H9" i="6"/>
  <c r="G9" i="6"/>
  <c r="F9" i="6"/>
  <c r="E9" i="6"/>
  <c r="D9" i="6"/>
  <c r="C9" i="6"/>
  <c r="I8" i="6"/>
  <c r="H8" i="6"/>
  <c r="G8" i="6"/>
  <c r="F8" i="6"/>
  <c r="E8" i="6"/>
  <c r="D8" i="6"/>
  <c r="C8" i="6"/>
  <c r="J6" i="6"/>
  <c r="I6" i="6"/>
  <c r="H6" i="6"/>
  <c r="G6" i="6"/>
  <c r="F6" i="6"/>
  <c r="E6" i="6"/>
  <c r="D6" i="6"/>
  <c r="C6" i="6"/>
  <c r="I5" i="6"/>
  <c r="H5" i="6"/>
  <c r="G5" i="6"/>
  <c r="F5" i="6"/>
  <c r="E5" i="6"/>
  <c r="D5" i="6"/>
  <c r="C5" i="6"/>
  <c r="I18" i="6"/>
  <c r="H18" i="6"/>
  <c r="G18" i="6"/>
  <c r="F18" i="6"/>
  <c r="E18" i="6"/>
  <c r="D18" i="6"/>
  <c r="C18" i="6"/>
  <c r="I17" i="6"/>
  <c r="H17" i="6"/>
  <c r="G17" i="6"/>
  <c r="F17" i="6"/>
  <c r="E17" i="6"/>
  <c r="D17" i="6"/>
  <c r="C17" i="6"/>
  <c r="I3" i="5"/>
  <c r="H3" i="5"/>
  <c r="G3" i="5"/>
  <c r="F3" i="5"/>
  <c r="E3" i="5"/>
  <c r="D3" i="5"/>
  <c r="C3" i="5"/>
  <c r="I2" i="5"/>
  <c r="H2" i="5"/>
  <c r="G2" i="5"/>
  <c r="F2" i="5"/>
  <c r="E2" i="5"/>
  <c r="D2" i="5"/>
  <c r="C2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12" i="5"/>
  <c r="H12" i="5"/>
  <c r="G12" i="5"/>
  <c r="F12" i="5"/>
  <c r="E12" i="5"/>
  <c r="D12" i="5"/>
  <c r="C12" i="5"/>
  <c r="I11" i="5"/>
  <c r="H11" i="5"/>
  <c r="G11" i="5"/>
  <c r="F11" i="5"/>
  <c r="E11" i="5"/>
  <c r="D11" i="5"/>
  <c r="C11" i="5"/>
  <c r="I9" i="5"/>
  <c r="H9" i="5"/>
  <c r="G9" i="5"/>
  <c r="F9" i="5"/>
  <c r="E9" i="5"/>
  <c r="D9" i="5"/>
  <c r="C9" i="5"/>
  <c r="K9" i="5" s="1"/>
  <c r="I8" i="5"/>
  <c r="H8" i="5"/>
  <c r="G8" i="5"/>
  <c r="F8" i="5"/>
  <c r="E8" i="5"/>
  <c r="D8" i="5"/>
  <c r="C8" i="5"/>
  <c r="I6" i="5"/>
  <c r="H6" i="5"/>
  <c r="G6" i="5"/>
  <c r="F6" i="5"/>
  <c r="E6" i="5"/>
  <c r="D6" i="5"/>
  <c r="C6" i="5"/>
  <c r="K6" i="5" s="1"/>
  <c r="K4" i="20"/>
  <c r="I3" i="20"/>
  <c r="H3" i="20"/>
  <c r="G3" i="20"/>
  <c r="F3" i="20"/>
  <c r="E3" i="20"/>
  <c r="D3" i="20"/>
  <c r="C3" i="20"/>
  <c r="I2" i="20"/>
  <c r="H2" i="20"/>
  <c r="G2" i="20"/>
  <c r="F2" i="20"/>
  <c r="E2" i="20"/>
  <c r="D2" i="20"/>
  <c r="C2" i="20"/>
  <c r="K16" i="20"/>
  <c r="I15" i="20"/>
  <c r="H15" i="20"/>
  <c r="G15" i="20"/>
  <c r="F15" i="20"/>
  <c r="E15" i="20"/>
  <c r="D15" i="20"/>
  <c r="C15" i="20"/>
  <c r="I14" i="20"/>
  <c r="H14" i="20"/>
  <c r="G14" i="20"/>
  <c r="F14" i="20"/>
  <c r="E14" i="20"/>
  <c r="D14" i="20"/>
  <c r="C14" i="20"/>
  <c r="K22" i="20"/>
  <c r="I21" i="20"/>
  <c r="H21" i="20"/>
  <c r="G21" i="20"/>
  <c r="F21" i="20"/>
  <c r="E21" i="20"/>
  <c r="D21" i="20"/>
  <c r="C21" i="20"/>
  <c r="I20" i="20"/>
  <c r="H20" i="20"/>
  <c r="G20" i="20"/>
  <c r="F20" i="20"/>
  <c r="E20" i="20"/>
  <c r="D20" i="20"/>
  <c r="C20" i="20"/>
  <c r="K13" i="20"/>
  <c r="I12" i="20"/>
  <c r="H12" i="20"/>
  <c r="G12" i="20"/>
  <c r="F12" i="20"/>
  <c r="E12" i="20"/>
  <c r="D12" i="20"/>
  <c r="C12" i="20"/>
  <c r="I11" i="20"/>
  <c r="H11" i="20"/>
  <c r="G11" i="20"/>
  <c r="F11" i="20"/>
  <c r="E11" i="20"/>
  <c r="D11" i="20"/>
  <c r="C11" i="20"/>
  <c r="J9" i="20"/>
  <c r="I9" i="20"/>
  <c r="H9" i="20"/>
  <c r="G9" i="20"/>
  <c r="F9" i="20"/>
  <c r="E9" i="20"/>
  <c r="D9" i="20"/>
  <c r="C9" i="20"/>
  <c r="I8" i="20"/>
  <c r="H8" i="20"/>
  <c r="G8" i="20"/>
  <c r="F8" i="20"/>
  <c r="E8" i="20"/>
  <c r="D8" i="20"/>
  <c r="C8" i="20"/>
  <c r="I6" i="20"/>
  <c r="H6" i="20"/>
  <c r="G6" i="20"/>
  <c r="F6" i="20"/>
  <c r="E6" i="20"/>
  <c r="D6" i="20"/>
  <c r="C6" i="20"/>
  <c r="I5" i="20"/>
  <c r="H5" i="20"/>
  <c r="G5" i="20"/>
  <c r="F5" i="20"/>
  <c r="E5" i="20"/>
  <c r="D5" i="20"/>
  <c r="C5" i="20"/>
  <c r="I18" i="20"/>
  <c r="H18" i="20"/>
  <c r="G18" i="20"/>
  <c r="F18" i="20"/>
  <c r="E18" i="20"/>
  <c r="D18" i="20"/>
  <c r="C18" i="20"/>
  <c r="J17" i="20"/>
  <c r="I17" i="20"/>
  <c r="H17" i="20"/>
  <c r="G17" i="20"/>
  <c r="F17" i="20"/>
  <c r="E17" i="20"/>
  <c r="D17" i="20"/>
  <c r="C17" i="20"/>
  <c r="K22" i="19"/>
  <c r="I21" i="19"/>
  <c r="H21" i="19"/>
  <c r="G21" i="19"/>
  <c r="F21" i="19"/>
  <c r="E21" i="19"/>
  <c r="D21" i="19"/>
  <c r="C21" i="19"/>
  <c r="J20" i="19"/>
  <c r="I20" i="19"/>
  <c r="H20" i="19"/>
  <c r="G20" i="19"/>
  <c r="F20" i="19"/>
  <c r="E20" i="19"/>
  <c r="D20" i="19"/>
  <c r="C20" i="19"/>
  <c r="K20" i="19" s="1"/>
  <c r="K4" i="19"/>
  <c r="J3" i="19"/>
  <c r="I3" i="19"/>
  <c r="H3" i="19"/>
  <c r="G3" i="19"/>
  <c r="F3" i="19"/>
  <c r="E3" i="19"/>
  <c r="D3" i="19"/>
  <c r="C3" i="19"/>
  <c r="J2" i="19"/>
  <c r="I2" i="19"/>
  <c r="H2" i="19"/>
  <c r="G2" i="19"/>
  <c r="F2" i="19"/>
  <c r="E2" i="19"/>
  <c r="D2" i="19"/>
  <c r="C2" i="19"/>
  <c r="I15" i="19"/>
  <c r="H15" i="19"/>
  <c r="G15" i="19"/>
  <c r="F15" i="19"/>
  <c r="E15" i="19"/>
  <c r="D15" i="19"/>
  <c r="C15" i="19"/>
  <c r="I14" i="19"/>
  <c r="H14" i="19"/>
  <c r="G14" i="19"/>
  <c r="F14" i="19"/>
  <c r="E14" i="19"/>
  <c r="D14" i="19"/>
  <c r="C14" i="19"/>
  <c r="J12" i="19"/>
  <c r="I12" i="19"/>
  <c r="H12" i="19"/>
  <c r="G12" i="19"/>
  <c r="F12" i="19"/>
  <c r="E12" i="19"/>
  <c r="D12" i="19"/>
  <c r="C12" i="19"/>
  <c r="I11" i="19"/>
  <c r="H11" i="19"/>
  <c r="G11" i="19"/>
  <c r="F11" i="19"/>
  <c r="E11" i="19"/>
  <c r="D11" i="19"/>
  <c r="C11" i="19"/>
  <c r="J9" i="19"/>
  <c r="I9" i="19"/>
  <c r="H9" i="19"/>
  <c r="G9" i="19"/>
  <c r="F9" i="19"/>
  <c r="E9" i="19"/>
  <c r="D9" i="19"/>
  <c r="C9" i="19"/>
  <c r="J8" i="19"/>
  <c r="I8" i="19"/>
  <c r="H8" i="19"/>
  <c r="G8" i="19"/>
  <c r="F8" i="19"/>
  <c r="E8" i="19"/>
  <c r="D8" i="19"/>
  <c r="C8" i="19"/>
  <c r="I6" i="19"/>
  <c r="H6" i="19"/>
  <c r="K6" i="19" s="1"/>
  <c r="G6" i="19"/>
  <c r="F6" i="19"/>
  <c r="E6" i="19"/>
  <c r="D6" i="19"/>
  <c r="C6" i="19"/>
  <c r="I5" i="19"/>
  <c r="H5" i="19"/>
  <c r="G5" i="19"/>
  <c r="F5" i="19"/>
  <c r="E5" i="19"/>
  <c r="D5" i="19"/>
  <c r="C5" i="19"/>
  <c r="J18" i="19"/>
  <c r="I18" i="19"/>
  <c r="H18" i="19"/>
  <c r="G18" i="19"/>
  <c r="F18" i="19"/>
  <c r="E18" i="19"/>
  <c r="D18" i="19"/>
  <c r="C18" i="19"/>
  <c r="I17" i="19"/>
  <c r="H17" i="19"/>
  <c r="G17" i="19"/>
  <c r="F17" i="19"/>
  <c r="E17" i="19"/>
  <c r="D17" i="19"/>
  <c r="C17" i="19"/>
  <c r="K22" i="18"/>
  <c r="I21" i="18"/>
  <c r="K21" i="18" s="1"/>
  <c r="H21" i="18"/>
  <c r="G21" i="18"/>
  <c r="F21" i="18"/>
  <c r="E21" i="18"/>
  <c r="D21" i="18"/>
  <c r="C21" i="18"/>
  <c r="I20" i="18"/>
  <c r="H20" i="18"/>
  <c r="G20" i="18"/>
  <c r="F20" i="18"/>
  <c r="E20" i="18"/>
  <c r="D20" i="18"/>
  <c r="C20" i="18"/>
  <c r="K4" i="18"/>
  <c r="J3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I15" i="18"/>
  <c r="H15" i="18"/>
  <c r="G15" i="18"/>
  <c r="F15" i="18"/>
  <c r="E15" i="18"/>
  <c r="D15" i="18"/>
  <c r="C15" i="18"/>
  <c r="I14" i="18"/>
  <c r="H14" i="18"/>
  <c r="G14" i="18"/>
  <c r="F14" i="18"/>
  <c r="E14" i="18"/>
  <c r="D14" i="18"/>
  <c r="C14" i="18"/>
  <c r="J12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11" i="18"/>
  <c r="I9" i="18"/>
  <c r="H9" i="18"/>
  <c r="G9" i="18"/>
  <c r="F9" i="18"/>
  <c r="E9" i="18"/>
  <c r="D9" i="18"/>
  <c r="C9" i="18"/>
  <c r="J8" i="18"/>
  <c r="I8" i="18"/>
  <c r="H8" i="18"/>
  <c r="G8" i="18"/>
  <c r="F8" i="18"/>
  <c r="E8" i="18"/>
  <c r="D8" i="18"/>
  <c r="C8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J18" i="18"/>
  <c r="I18" i="18"/>
  <c r="H18" i="18"/>
  <c r="G18" i="18"/>
  <c r="F18" i="18"/>
  <c r="E18" i="18"/>
  <c r="D18" i="18"/>
  <c r="C18" i="18"/>
  <c r="I17" i="18"/>
  <c r="H17" i="18"/>
  <c r="G17" i="18"/>
  <c r="F17" i="18"/>
  <c r="E17" i="18"/>
  <c r="D17" i="18"/>
  <c r="C17" i="18"/>
  <c r="I21" i="17"/>
  <c r="H21" i="17"/>
  <c r="G21" i="17"/>
  <c r="K21" i="17" s="1"/>
  <c r="F21" i="17"/>
  <c r="E21" i="17"/>
  <c r="D21" i="17"/>
  <c r="C21" i="17"/>
  <c r="I20" i="17"/>
  <c r="H20" i="17"/>
  <c r="G20" i="17"/>
  <c r="F20" i="17"/>
  <c r="E20" i="17"/>
  <c r="D20" i="17"/>
  <c r="C20" i="17"/>
  <c r="J3" i="17"/>
  <c r="I3" i="17"/>
  <c r="H3" i="17"/>
  <c r="G3" i="17"/>
  <c r="F3" i="17"/>
  <c r="E3" i="17"/>
  <c r="D3" i="17"/>
  <c r="C3" i="17"/>
  <c r="K3" i="17" s="1"/>
  <c r="I2" i="17"/>
  <c r="H2" i="17"/>
  <c r="K2" i="17" s="1"/>
  <c r="G2" i="17"/>
  <c r="F2" i="17"/>
  <c r="E2" i="17"/>
  <c r="D2" i="17"/>
  <c r="C2" i="17"/>
  <c r="I15" i="17"/>
  <c r="H15" i="17"/>
  <c r="G15" i="17"/>
  <c r="F15" i="17"/>
  <c r="E15" i="17"/>
  <c r="D15" i="17"/>
  <c r="C15" i="17"/>
  <c r="K15" i="17" s="1"/>
  <c r="I14" i="17"/>
  <c r="H14" i="17"/>
  <c r="G14" i="17"/>
  <c r="K14" i="17" s="1"/>
  <c r="F14" i="17"/>
  <c r="E14" i="17"/>
  <c r="D14" i="17"/>
  <c r="C14" i="17"/>
  <c r="I12" i="17"/>
  <c r="H12" i="17"/>
  <c r="G12" i="17"/>
  <c r="F12" i="17"/>
  <c r="E12" i="17"/>
  <c r="D12" i="17"/>
  <c r="C12" i="17"/>
  <c r="I11" i="17"/>
  <c r="H11" i="17"/>
  <c r="G11" i="17"/>
  <c r="F11" i="17"/>
  <c r="E11" i="17"/>
  <c r="D11" i="17"/>
  <c r="C11" i="17"/>
  <c r="I9" i="17"/>
  <c r="H9" i="17"/>
  <c r="G9" i="17"/>
  <c r="F9" i="17"/>
  <c r="E9" i="17"/>
  <c r="D9" i="17"/>
  <c r="C9" i="17"/>
  <c r="I8" i="17"/>
  <c r="H8" i="17"/>
  <c r="G8" i="17"/>
  <c r="F8" i="17"/>
  <c r="E8" i="17"/>
  <c r="D8" i="17"/>
  <c r="C8" i="17"/>
  <c r="I6" i="17"/>
  <c r="H6" i="17"/>
  <c r="G6" i="17"/>
  <c r="F6" i="17"/>
  <c r="E6" i="17"/>
  <c r="D6" i="17"/>
  <c r="C6" i="17"/>
  <c r="I5" i="17"/>
  <c r="H5" i="17"/>
  <c r="G5" i="17"/>
  <c r="F5" i="17"/>
  <c r="E5" i="17"/>
  <c r="D5" i="17"/>
  <c r="C5" i="17"/>
  <c r="I18" i="17"/>
  <c r="H18" i="17"/>
  <c r="G18" i="17"/>
  <c r="F18" i="17"/>
  <c r="E18" i="17"/>
  <c r="D18" i="17"/>
  <c r="C18" i="17"/>
  <c r="I17" i="17"/>
  <c r="H17" i="17"/>
  <c r="G17" i="17"/>
  <c r="F17" i="17"/>
  <c r="E17" i="17"/>
  <c r="D17" i="17"/>
  <c r="C17" i="17"/>
  <c r="I21" i="16"/>
  <c r="H21" i="16"/>
  <c r="G21" i="16"/>
  <c r="F21" i="16"/>
  <c r="E21" i="16"/>
  <c r="D21" i="16"/>
  <c r="C21" i="16"/>
  <c r="I20" i="16"/>
  <c r="H20" i="16"/>
  <c r="G20" i="16"/>
  <c r="F20" i="16"/>
  <c r="E20" i="16"/>
  <c r="D20" i="16"/>
  <c r="C20" i="16"/>
  <c r="K20" i="16" s="1"/>
  <c r="J3" i="16"/>
  <c r="I3" i="16"/>
  <c r="H3" i="16"/>
  <c r="G3" i="16"/>
  <c r="F3" i="16"/>
  <c r="E3" i="16"/>
  <c r="D3" i="16"/>
  <c r="C3" i="16"/>
  <c r="J2" i="16"/>
  <c r="I2" i="16"/>
  <c r="H2" i="16"/>
  <c r="G2" i="16"/>
  <c r="F2" i="16"/>
  <c r="E2" i="16"/>
  <c r="D2" i="16"/>
  <c r="C2" i="16"/>
  <c r="I15" i="16"/>
  <c r="H15" i="16"/>
  <c r="G15" i="16"/>
  <c r="F15" i="16"/>
  <c r="E15" i="16"/>
  <c r="D15" i="16"/>
  <c r="C15" i="16"/>
  <c r="I14" i="16"/>
  <c r="H14" i="16"/>
  <c r="G14" i="16"/>
  <c r="F14" i="16"/>
  <c r="E14" i="16"/>
  <c r="D14" i="16"/>
  <c r="C14" i="16"/>
  <c r="I12" i="16"/>
  <c r="H12" i="16"/>
  <c r="G12" i="16"/>
  <c r="F12" i="16"/>
  <c r="E12" i="16"/>
  <c r="D12" i="16"/>
  <c r="C12" i="16"/>
  <c r="K12" i="16" s="1"/>
  <c r="J11" i="16"/>
  <c r="I11" i="16"/>
  <c r="H11" i="16"/>
  <c r="G11" i="16"/>
  <c r="F11" i="16"/>
  <c r="E11" i="16"/>
  <c r="D11" i="16"/>
  <c r="C11" i="16"/>
  <c r="J9" i="16"/>
  <c r="I9" i="16"/>
  <c r="H9" i="16"/>
  <c r="G9" i="16"/>
  <c r="F9" i="16"/>
  <c r="E9" i="16"/>
  <c r="D9" i="16"/>
  <c r="C9" i="16"/>
  <c r="I8" i="16"/>
  <c r="H8" i="16"/>
  <c r="G8" i="16"/>
  <c r="F8" i="16"/>
  <c r="E8" i="16"/>
  <c r="D8" i="16"/>
  <c r="C8" i="16"/>
  <c r="K8" i="16" s="1"/>
  <c r="J6" i="16"/>
  <c r="I6" i="16"/>
  <c r="H6" i="16"/>
  <c r="G6" i="16"/>
  <c r="F6" i="16"/>
  <c r="E6" i="16"/>
  <c r="D6" i="16"/>
  <c r="C6" i="16"/>
  <c r="I5" i="16"/>
  <c r="H5" i="16"/>
  <c r="G5" i="16"/>
  <c r="F5" i="16"/>
  <c r="E5" i="16"/>
  <c r="D5" i="16"/>
  <c r="C5" i="16"/>
  <c r="J18" i="16"/>
  <c r="I18" i="16"/>
  <c r="H18" i="16"/>
  <c r="G18" i="16"/>
  <c r="F18" i="16"/>
  <c r="E18" i="16"/>
  <c r="D18" i="16"/>
  <c r="C18" i="16"/>
  <c r="K18" i="16" s="1"/>
  <c r="J17" i="16"/>
  <c r="I17" i="16"/>
  <c r="H17" i="16"/>
  <c r="G17" i="16"/>
  <c r="F17" i="16"/>
  <c r="E17" i="16"/>
  <c r="D17" i="16"/>
  <c r="C17" i="16"/>
  <c r="I21" i="15"/>
  <c r="H21" i="15"/>
  <c r="G21" i="15"/>
  <c r="F21" i="15"/>
  <c r="E21" i="15"/>
  <c r="D21" i="15"/>
  <c r="C21" i="15"/>
  <c r="I20" i="15"/>
  <c r="H20" i="15"/>
  <c r="G20" i="15"/>
  <c r="F20" i="15"/>
  <c r="E20" i="15"/>
  <c r="D20" i="15"/>
  <c r="C20" i="15"/>
  <c r="K20" i="15" s="1"/>
  <c r="I3" i="15"/>
  <c r="H3" i="15"/>
  <c r="G3" i="15"/>
  <c r="F3" i="15"/>
  <c r="E3" i="15"/>
  <c r="D3" i="15"/>
  <c r="C3" i="15"/>
  <c r="I2" i="15"/>
  <c r="H2" i="15"/>
  <c r="G2" i="15"/>
  <c r="F2" i="15"/>
  <c r="E2" i="15"/>
  <c r="D2" i="15"/>
  <c r="C2" i="15"/>
  <c r="K2" i="15" s="1"/>
  <c r="I15" i="15"/>
  <c r="H15" i="15"/>
  <c r="K15" i="15" s="1"/>
  <c r="G15" i="15"/>
  <c r="F15" i="15"/>
  <c r="E15" i="15"/>
  <c r="D15" i="15"/>
  <c r="C15" i="15"/>
  <c r="I14" i="15"/>
  <c r="H14" i="15"/>
  <c r="G14" i="15"/>
  <c r="F14" i="15"/>
  <c r="E14" i="15"/>
  <c r="D14" i="15"/>
  <c r="C14" i="15"/>
  <c r="I12" i="15"/>
  <c r="H12" i="15"/>
  <c r="G12" i="15"/>
  <c r="F12" i="15"/>
  <c r="E12" i="15"/>
  <c r="D12" i="15"/>
  <c r="C12" i="15"/>
  <c r="I11" i="15"/>
  <c r="H11" i="15"/>
  <c r="G11" i="15"/>
  <c r="F11" i="15"/>
  <c r="E11" i="15"/>
  <c r="D11" i="15"/>
  <c r="C11" i="15"/>
  <c r="I9" i="15"/>
  <c r="H9" i="15"/>
  <c r="G9" i="15"/>
  <c r="F9" i="15"/>
  <c r="E9" i="15"/>
  <c r="D9" i="15"/>
  <c r="C9" i="15"/>
  <c r="I8" i="15"/>
  <c r="H8" i="15"/>
  <c r="G8" i="15"/>
  <c r="F8" i="15"/>
  <c r="E8" i="15"/>
  <c r="D8" i="15"/>
  <c r="C8" i="15"/>
  <c r="I6" i="15"/>
  <c r="H6" i="15"/>
  <c r="G6" i="15"/>
  <c r="F6" i="15"/>
  <c r="E6" i="15"/>
  <c r="D6" i="15"/>
  <c r="C6" i="15"/>
  <c r="I5" i="15"/>
  <c r="H5" i="15"/>
  <c r="G5" i="15"/>
  <c r="F5" i="15"/>
  <c r="E5" i="15"/>
  <c r="D5" i="15"/>
  <c r="C5" i="15"/>
  <c r="J18" i="15"/>
  <c r="I18" i="15"/>
  <c r="H18" i="15"/>
  <c r="G18" i="15"/>
  <c r="F18" i="15"/>
  <c r="E18" i="15"/>
  <c r="D18" i="15"/>
  <c r="C18" i="15"/>
  <c r="I17" i="15"/>
  <c r="H17" i="15"/>
  <c r="G17" i="15"/>
  <c r="F17" i="15"/>
  <c r="E17" i="15"/>
  <c r="D17" i="15"/>
  <c r="C17" i="15"/>
  <c r="C5" i="5"/>
  <c r="I5" i="5"/>
  <c r="H5" i="5"/>
  <c r="G5" i="5"/>
  <c r="F5" i="5"/>
  <c r="E5" i="5"/>
  <c r="D5" i="5"/>
  <c r="I18" i="5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K7" i="17"/>
  <c r="K19" i="16"/>
  <c r="K15" i="16"/>
  <c r="K19" i="15"/>
  <c r="K13" i="15"/>
  <c r="K22" i="14"/>
  <c r="K19" i="14"/>
  <c r="K16" i="14"/>
  <c r="K11" i="14"/>
  <c r="K10" i="14"/>
  <c r="K22" i="13"/>
  <c r="K16" i="13"/>
  <c r="K2" i="13"/>
  <c r="K21" i="12"/>
  <c r="K16" i="12"/>
  <c r="K10" i="12"/>
  <c r="K18" i="11"/>
  <c r="K19" i="10"/>
  <c r="K22" i="8"/>
  <c r="K10" i="8"/>
  <c r="K16" i="7"/>
  <c r="K13" i="7"/>
  <c r="K10" i="7"/>
  <c r="K8" i="7"/>
  <c r="K4" i="7"/>
  <c r="K21" i="6"/>
  <c r="K13" i="6"/>
  <c r="K7" i="6"/>
  <c r="K22" i="5"/>
  <c r="I21" i="5"/>
  <c r="H21" i="5"/>
  <c r="G21" i="5"/>
  <c r="F21" i="5"/>
  <c r="E21" i="5"/>
  <c r="D21" i="5"/>
  <c r="C21" i="5"/>
  <c r="I20" i="5"/>
  <c r="H20" i="5"/>
  <c r="G20" i="5"/>
  <c r="F20" i="5"/>
  <c r="E20" i="5"/>
  <c r="D20" i="5"/>
  <c r="C20" i="5"/>
  <c r="K19" i="5"/>
  <c r="K16" i="5"/>
  <c r="K13" i="5"/>
  <c r="K10" i="5"/>
  <c r="K7" i="5"/>
  <c r="K4" i="5"/>
  <c r="K22" i="4"/>
  <c r="K21" i="4"/>
  <c r="K20" i="4"/>
  <c r="K19" i="4"/>
  <c r="K18" i="4"/>
  <c r="K17" i="4"/>
  <c r="K16" i="4"/>
  <c r="K15" i="4"/>
  <c r="K14" i="4"/>
  <c r="K13" i="4"/>
  <c r="K12" i="4"/>
  <c r="K11" i="4"/>
  <c r="L11" i="4" s="1"/>
  <c r="K10" i="4"/>
  <c r="K9" i="4"/>
  <c r="K8" i="4"/>
  <c r="K7" i="4"/>
  <c r="K6" i="4"/>
  <c r="K5" i="4"/>
  <c r="K4" i="4"/>
  <c r="K3" i="4"/>
  <c r="K2" i="4"/>
  <c r="K22" i="3"/>
  <c r="K21" i="3"/>
  <c r="K20" i="3"/>
  <c r="K19" i="3"/>
  <c r="K18" i="3"/>
  <c r="K17" i="3"/>
  <c r="K16" i="3"/>
  <c r="K15" i="3"/>
  <c r="K14" i="3"/>
  <c r="L14" i="3" s="1"/>
  <c r="K13" i="3"/>
  <c r="K12" i="3"/>
  <c r="K11" i="3"/>
  <c r="K10" i="3"/>
  <c r="K9" i="3"/>
  <c r="K8" i="3"/>
  <c r="K7" i="3"/>
  <c r="K6" i="3"/>
  <c r="K5" i="3"/>
  <c r="K4" i="3"/>
  <c r="K3" i="3"/>
  <c r="L2" i="3"/>
  <c r="K2" i="3"/>
  <c r="K22" i="2"/>
  <c r="K21" i="2"/>
  <c r="K20" i="2"/>
  <c r="L20" i="2" s="1"/>
  <c r="K19" i="2"/>
  <c r="K18" i="2"/>
  <c r="K17" i="2"/>
  <c r="K16" i="2"/>
  <c r="K15" i="2"/>
  <c r="K14" i="2"/>
  <c r="L14" i="2" s="1"/>
  <c r="K13" i="2"/>
  <c r="K12" i="2"/>
  <c r="K11" i="2"/>
  <c r="K10" i="2"/>
  <c r="K9" i="2"/>
  <c r="K8" i="2"/>
  <c r="L8" i="2" s="1"/>
  <c r="K7" i="2"/>
  <c r="K6" i="2"/>
  <c r="K5" i="2"/>
  <c r="K4" i="2"/>
  <c r="K3" i="2"/>
  <c r="K2" i="2"/>
  <c r="L2" i="2" s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1" i="20" l="1"/>
  <c r="K18" i="20"/>
  <c r="K12" i="20"/>
  <c r="K8" i="20"/>
  <c r="K17" i="20"/>
  <c r="L17" i="20" s="1"/>
  <c r="K6" i="20"/>
  <c r="K9" i="20"/>
  <c r="K20" i="20"/>
  <c r="K14" i="20"/>
  <c r="K3" i="20"/>
  <c r="K2" i="20"/>
  <c r="L2" i="20" s="1"/>
  <c r="K21" i="20"/>
  <c r="L20" i="20" s="1"/>
  <c r="K5" i="20"/>
  <c r="K15" i="20"/>
  <c r="K14" i="19"/>
  <c r="K3" i="19"/>
  <c r="K21" i="19"/>
  <c r="K5" i="19"/>
  <c r="K18" i="19"/>
  <c r="K8" i="19"/>
  <c r="K12" i="19"/>
  <c r="K2" i="19"/>
  <c r="L2" i="19" s="1"/>
  <c r="K11" i="19"/>
  <c r="L11" i="19" s="1"/>
  <c r="K9" i="19"/>
  <c r="L8" i="19" s="1"/>
  <c r="K6" i="18"/>
  <c r="K17" i="18"/>
  <c r="K5" i="18"/>
  <c r="K11" i="18"/>
  <c r="K12" i="18"/>
  <c r="K15" i="18"/>
  <c r="K9" i="18"/>
  <c r="K18" i="18"/>
  <c r="L17" i="18" s="1"/>
  <c r="K14" i="18"/>
  <c r="L14" i="18" s="1"/>
  <c r="K20" i="18"/>
  <c r="L20" i="18" s="1"/>
  <c r="K2" i="18"/>
  <c r="K3" i="18"/>
  <c r="K8" i="18"/>
  <c r="K20" i="17"/>
  <c r="K18" i="17"/>
  <c r="K17" i="17"/>
  <c r="L17" i="17" s="1"/>
  <c r="K9" i="17"/>
  <c r="K5" i="17"/>
  <c r="K11" i="17"/>
  <c r="K6" i="17"/>
  <c r="L5" i="17" s="1"/>
  <c r="K8" i="17"/>
  <c r="L8" i="17" s="1"/>
  <c r="K12" i="17"/>
  <c r="K11" i="16"/>
  <c r="K14" i="16"/>
  <c r="K2" i="16"/>
  <c r="K9" i="16"/>
  <c r="L8" i="16" s="1"/>
  <c r="K6" i="16"/>
  <c r="K5" i="16"/>
  <c r="L5" i="16" s="1"/>
  <c r="K17" i="16"/>
  <c r="L17" i="16" s="1"/>
  <c r="K21" i="16"/>
  <c r="K21" i="15"/>
  <c r="K8" i="15"/>
  <c r="K14" i="15"/>
  <c r="K3" i="15"/>
  <c r="K17" i="15"/>
  <c r="L17" i="15" s="1"/>
  <c r="K18" i="15"/>
  <c r="K9" i="15"/>
  <c r="L8" i="15" s="1"/>
  <c r="K6" i="15"/>
  <c r="K12" i="15"/>
  <c r="K15" i="14"/>
  <c r="K3" i="14"/>
  <c r="K17" i="14"/>
  <c r="K5" i="14"/>
  <c r="K6" i="14"/>
  <c r="K9" i="14"/>
  <c r="K12" i="14"/>
  <c r="L11" i="14" s="1"/>
  <c r="K8" i="14"/>
  <c r="L8" i="14" s="1"/>
  <c r="K21" i="14"/>
  <c r="L20" i="14" s="1"/>
  <c r="L14" i="14"/>
  <c r="K17" i="13"/>
  <c r="K9" i="13"/>
  <c r="K14" i="13"/>
  <c r="K21" i="13"/>
  <c r="L20" i="13" s="1"/>
  <c r="K6" i="13"/>
  <c r="L5" i="13" s="1"/>
  <c r="K18" i="13"/>
  <c r="L17" i="13" s="1"/>
  <c r="K8" i="13"/>
  <c r="L8" i="13" s="1"/>
  <c r="K12" i="13"/>
  <c r="L11" i="13" s="1"/>
  <c r="K15" i="13"/>
  <c r="L14" i="13" s="1"/>
  <c r="K18" i="12"/>
  <c r="K5" i="12"/>
  <c r="K8" i="12"/>
  <c r="L8" i="12" s="1"/>
  <c r="K11" i="12"/>
  <c r="K15" i="12"/>
  <c r="L14" i="12" s="1"/>
  <c r="K3" i="12"/>
  <c r="L2" i="12" s="1"/>
  <c r="K12" i="12"/>
  <c r="L11" i="12" s="1"/>
  <c r="K17" i="12"/>
  <c r="L17" i="12" s="1"/>
  <c r="K14" i="11"/>
  <c r="K2" i="11"/>
  <c r="K21" i="11"/>
  <c r="L20" i="11" s="1"/>
  <c r="K6" i="11"/>
  <c r="K8" i="11"/>
  <c r="K11" i="11"/>
  <c r="K12" i="11"/>
  <c r="L11" i="11" s="1"/>
  <c r="K15" i="11"/>
  <c r="L14" i="11" s="1"/>
  <c r="K17" i="11"/>
  <c r="L17" i="11" s="1"/>
  <c r="K9" i="11"/>
  <c r="L8" i="11" s="1"/>
  <c r="K5" i="11"/>
  <c r="L5" i="11" s="1"/>
  <c r="K6" i="10"/>
  <c r="K17" i="10"/>
  <c r="K12" i="10"/>
  <c r="K2" i="10"/>
  <c r="K3" i="10"/>
  <c r="K18" i="10"/>
  <c r="L17" i="10" s="1"/>
  <c r="K9" i="10"/>
  <c r="L8" i="10" s="1"/>
  <c r="K11" i="10"/>
  <c r="L11" i="10" s="1"/>
  <c r="K14" i="10"/>
  <c r="K15" i="10"/>
  <c r="K5" i="10"/>
  <c r="L5" i="10" s="1"/>
  <c r="K20" i="10"/>
  <c r="L20" i="10" s="1"/>
  <c r="K20" i="8"/>
  <c r="K14" i="8"/>
  <c r="K5" i="8"/>
  <c r="L5" i="8" s="1"/>
  <c r="K6" i="8"/>
  <c r="K12" i="8"/>
  <c r="K8" i="8"/>
  <c r="K18" i="8"/>
  <c r="L17" i="8" s="1"/>
  <c r="K9" i="8"/>
  <c r="K3" i="8"/>
  <c r="K3" i="7"/>
  <c r="K15" i="7"/>
  <c r="K2" i="7"/>
  <c r="K17" i="7"/>
  <c r="L17" i="7" s="1"/>
  <c r="K6" i="7"/>
  <c r="K9" i="7"/>
  <c r="L8" i="7" s="1"/>
  <c r="K14" i="7"/>
  <c r="K20" i="7"/>
  <c r="K12" i="7"/>
  <c r="K5" i="7"/>
  <c r="L5" i="7" s="1"/>
  <c r="K18" i="6"/>
  <c r="K11" i="6"/>
  <c r="K3" i="6"/>
  <c r="K17" i="6"/>
  <c r="K6" i="6"/>
  <c r="K15" i="6"/>
  <c r="K9" i="6"/>
  <c r="K8" i="6"/>
  <c r="K12" i="6"/>
  <c r="L11" i="6" s="1"/>
  <c r="K5" i="6"/>
  <c r="L5" i="6" s="1"/>
  <c r="K17" i="5"/>
  <c r="K2" i="5"/>
  <c r="K18" i="5"/>
  <c r="L17" i="5" s="1"/>
  <c r="K5" i="5"/>
  <c r="K8" i="5"/>
  <c r="K12" i="5"/>
  <c r="K11" i="5"/>
  <c r="L11" i="5" s="1"/>
  <c r="K21" i="5"/>
  <c r="K14" i="5"/>
  <c r="K15" i="5"/>
  <c r="K20" i="5"/>
  <c r="L20" i="5" s="1"/>
  <c r="K3" i="5"/>
  <c r="L2" i="5" s="1"/>
  <c r="L8" i="4"/>
  <c r="L2" i="4"/>
  <c r="L14" i="4"/>
  <c r="L20" i="4"/>
  <c r="L5" i="4"/>
  <c r="L17" i="4"/>
  <c r="L20" i="3"/>
  <c r="L11" i="3"/>
  <c r="L5" i="3"/>
  <c r="L17" i="3"/>
  <c r="L8" i="3"/>
  <c r="L11" i="2"/>
  <c r="L5" i="2"/>
  <c r="L17" i="2"/>
  <c r="L11" i="1"/>
  <c r="L14" i="1"/>
  <c r="L8" i="1"/>
  <c r="L17" i="1"/>
  <c r="L2" i="1"/>
  <c r="L20" i="1"/>
  <c r="L5" i="1"/>
  <c r="L2" i="14"/>
  <c r="L5" i="14"/>
  <c r="L17" i="14"/>
  <c r="L2" i="13"/>
  <c r="L20" i="12"/>
  <c r="L5" i="12"/>
  <c r="L2" i="11"/>
  <c r="L2" i="10"/>
  <c r="L20" i="8"/>
  <c r="L2" i="8"/>
  <c r="K15" i="8"/>
  <c r="L14" i="8" s="1"/>
  <c r="L11" i="8"/>
  <c r="L20" i="7"/>
  <c r="L2" i="7"/>
  <c r="L14" i="7"/>
  <c r="L11" i="7"/>
  <c r="L20" i="6"/>
  <c r="L2" i="6"/>
  <c r="L14" i="6"/>
  <c r="L8" i="6"/>
  <c r="L17" i="6"/>
  <c r="L8" i="5"/>
  <c r="L5" i="5"/>
  <c r="L11" i="20"/>
  <c r="L8" i="20"/>
  <c r="L5" i="20"/>
  <c r="L20" i="19"/>
  <c r="K15" i="19"/>
  <c r="L14" i="19" s="1"/>
  <c r="L5" i="19"/>
  <c r="K17" i="19"/>
  <c r="L17" i="19" s="1"/>
  <c r="L5" i="18"/>
  <c r="L20" i="17"/>
  <c r="L2" i="17"/>
  <c r="L14" i="17"/>
  <c r="L11" i="17"/>
  <c r="L20" i="16"/>
  <c r="K3" i="16"/>
  <c r="L2" i="16" s="1"/>
  <c r="L14" i="16"/>
  <c r="L11" i="16"/>
  <c r="L20" i="15"/>
  <c r="L2" i="15"/>
  <c r="L14" i="15"/>
  <c r="K11" i="15"/>
  <c r="K5" i="15"/>
  <c r="L14" i="20" l="1"/>
  <c r="L2" i="18"/>
  <c r="L11" i="18"/>
  <c r="L8" i="18"/>
  <c r="L11" i="15"/>
  <c r="L5" i="15"/>
  <c r="L14" i="10"/>
  <c r="L8" i="8"/>
  <c r="L14" i="5"/>
</calcChain>
</file>

<file path=xl/sharedStrings.xml><?xml version="1.0" encoding="utf-8"?>
<sst xmlns="http://schemas.openxmlformats.org/spreadsheetml/2006/main" count="988" uniqueCount="20">
  <si>
    <t>Under 20 years</t>
  </si>
  <si>
    <t>20-29 years</t>
  </si>
  <si>
    <t>30-39 years</t>
  </si>
  <si>
    <t>40-49 years</t>
  </si>
  <si>
    <t>50-59 years</t>
  </si>
  <si>
    <t>60-69 years</t>
  </si>
  <si>
    <t>70-79 years</t>
  </si>
  <si>
    <t>More than 80 years</t>
  </si>
  <si>
    <t>SubTotal</t>
  </si>
  <si>
    <t>Total</t>
  </si>
  <si>
    <t>Mexico</t>
  </si>
  <si>
    <t>Males</t>
  </si>
  <si>
    <t>Females</t>
  </si>
  <si>
    <t>Unknown</t>
  </si>
  <si>
    <t>Cuba</t>
  </si>
  <si>
    <t>Dominican Republic</t>
  </si>
  <si>
    <t>El Salvador</t>
  </si>
  <si>
    <t>Guatemala</t>
  </si>
  <si>
    <t>Colombia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</si>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</sst>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4"/>
  <sheetViews>
    <sheetView workbookViewId="0">
      <selection activeCell="B30" sqref="B30"/>
    </sheetView>
  </sheetViews>
  <sheetFormatPr baseColWidth="10" defaultColWidth="14.44140625" defaultRowHeight="15" customHeight="1" x14ac:dyDescent="0.3"/>
  <cols>
    <col min="1" max="1" width="17.33203125" customWidth="1"/>
    <col min="2" max="9" width="10.6640625" customWidth="1"/>
    <col min="10" max="10" width="18.33203125" customWidth="1"/>
    <col min="11" max="26" width="10.6640625" customWidth="1"/>
  </cols>
  <sheetData>
    <row r="1" spans="1:12" ht="14.25" customHeight="1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4.25" customHeight="1" x14ac:dyDescent="0.3">
      <c r="A2" s="1" t="s">
        <v>10</v>
      </c>
      <c r="B2" s="1" t="s">
        <v>11</v>
      </c>
      <c r="C2" s="1">
        <v>9710</v>
      </c>
      <c r="D2" s="1">
        <v>13363</v>
      </c>
      <c r="E2" s="1">
        <v>4928</v>
      </c>
      <c r="F2" s="1">
        <v>1439</v>
      </c>
      <c r="G2" s="1">
        <v>644</v>
      </c>
      <c r="H2" s="1">
        <v>294</v>
      </c>
      <c r="I2" s="1">
        <v>128</v>
      </c>
      <c r="J2" s="1">
        <v>26</v>
      </c>
      <c r="K2" s="1">
        <f t="shared" ref="K2:K22" si="0">SUM(C2:J2)</f>
        <v>30532</v>
      </c>
      <c r="L2" s="1">
        <f>SUM(K2:K4)</f>
        <v>56106</v>
      </c>
    </row>
    <row r="3" spans="1:12" ht="14.25" customHeight="1" x14ac:dyDescent="0.3">
      <c r="A3" s="1" t="s">
        <v>10</v>
      </c>
      <c r="B3" s="1" t="s">
        <v>12</v>
      </c>
      <c r="C3" s="1">
        <v>9138</v>
      </c>
      <c r="D3" s="1">
        <v>7140</v>
      </c>
      <c r="E3" s="1">
        <v>3563</v>
      </c>
      <c r="F3" s="1">
        <v>1721</v>
      </c>
      <c r="G3" s="1">
        <v>1092</v>
      </c>
      <c r="H3" s="1">
        <v>439</v>
      </c>
      <c r="I3" s="1">
        <v>171</v>
      </c>
      <c r="J3" s="1">
        <v>56</v>
      </c>
      <c r="K3" s="1">
        <f t="shared" si="0"/>
        <v>23320</v>
      </c>
      <c r="L3" s="1"/>
    </row>
    <row r="4" spans="1:12" ht="14.25" customHeight="1" x14ac:dyDescent="0.3">
      <c r="A4" s="1" t="s">
        <v>10</v>
      </c>
      <c r="B4" s="1" t="s">
        <v>13</v>
      </c>
      <c r="C4" s="1">
        <v>774</v>
      </c>
      <c r="D4" s="1">
        <v>788</v>
      </c>
      <c r="E4" s="1">
        <v>368</v>
      </c>
      <c r="F4" s="1">
        <v>154</v>
      </c>
      <c r="G4" s="1">
        <v>79</v>
      </c>
      <c r="H4" s="1">
        <v>51</v>
      </c>
      <c r="I4" s="1">
        <v>23</v>
      </c>
      <c r="J4" s="1">
        <v>17</v>
      </c>
      <c r="K4" s="1">
        <f t="shared" si="0"/>
        <v>2254</v>
      </c>
      <c r="L4" s="1"/>
    </row>
    <row r="5" spans="1:12" ht="14.25" customHeight="1" x14ac:dyDescent="0.3">
      <c r="A5" s="1" t="s">
        <v>14</v>
      </c>
      <c r="B5" s="1" t="s">
        <v>11</v>
      </c>
      <c r="C5" s="1">
        <v>881</v>
      </c>
      <c r="D5" s="1">
        <v>512</v>
      </c>
      <c r="E5" s="1">
        <v>837</v>
      </c>
      <c r="F5" s="1">
        <v>583</v>
      </c>
      <c r="G5" s="1">
        <v>438</v>
      </c>
      <c r="H5" s="1">
        <v>311</v>
      </c>
      <c r="I5" s="1">
        <v>198</v>
      </c>
      <c r="J5" s="1">
        <v>41</v>
      </c>
      <c r="K5" s="1">
        <f t="shared" si="0"/>
        <v>3801</v>
      </c>
      <c r="L5" s="1">
        <f>SUM(K5:K7)</f>
        <v>8209</v>
      </c>
    </row>
    <row r="6" spans="1:12" ht="14.25" customHeight="1" x14ac:dyDescent="0.3">
      <c r="A6" s="1" t="s">
        <v>14</v>
      </c>
      <c r="B6" s="1" t="s">
        <v>12</v>
      </c>
      <c r="C6" s="1">
        <v>815</v>
      </c>
      <c r="D6" s="1">
        <v>585</v>
      </c>
      <c r="E6" s="1">
        <v>657</v>
      </c>
      <c r="F6" s="1">
        <v>559</v>
      </c>
      <c r="G6" s="1">
        <v>459</v>
      </c>
      <c r="H6" s="1">
        <v>514</v>
      </c>
      <c r="I6" s="1">
        <v>348</v>
      </c>
      <c r="J6" s="1">
        <v>64</v>
      </c>
      <c r="K6" s="1">
        <f t="shared" si="0"/>
        <v>4001</v>
      </c>
      <c r="L6" s="1"/>
    </row>
    <row r="7" spans="1:12" ht="14.25" customHeight="1" x14ac:dyDescent="0.3">
      <c r="A7" s="1" t="s">
        <v>14</v>
      </c>
      <c r="B7" s="1" t="s">
        <v>13</v>
      </c>
      <c r="C7" s="1">
        <v>82</v>
      </c>
      <c r="D7" s="1">
        <v>57</v>
      </c>
      <c r="E7" s="1">
        <v>98</v>
      </c>
      <c r="F7" s="1">
        <v>69</v>
      </c>
      <c r="G7" s="1">
        <v>32</v>
      </c>
      <c r="H7" s="1">
        <v>37</v>
      </c>
      <c r="I7" s="1">
        <v>24</v>
      </c>
      <c r="J7" s="1">
        <v>8</v>
      </c>
      <c r="K7" s="1">
        <f t="shared" si="0"/>
        <v>407</v>
      </c>
      <c r="L7" s="1"/>
    </row>
    <row r="8" spans="1:12" ht="14.25" customHeight="1" x14ac:dyDescent="0.3">
      <c r="A8" s="1" t="s">
        <v>15</v>
      </c>
      <c r="B8" s="1" t="s">
        <v>11</v>
      </c>
      <c r="C8" s="1">
        <v>3094</v>
      </c>
      <c r="D8" s="1">
        <v>2617</v>
      </c>
      <c r="E8" s="1">
        <v>1499</v>
      </c>
      <c r="F8" s="1">
        <v>552</v>
      </c>
      <c r="G8" s="1">
        <v>195</v>
      </c>
      <c r="H8" s="1">
        <v>55</v>
      </c>
      <c r="I8" s="1">
        <v>20</v>
      </c>
      <c r="J8" s="1">
        <v>4</v>
      </c>
      <c r="K8" s="1">
        <f t="shared" si="0"/>
        <v>8036</v>
      </c>
      <c r="L8" s="1">
        <f>SUM(K8:K10)</f>
        <v>17451</v>
      </c>
    </row>
    <row r="9" spans="1:12" ht="14.25" customHeight="1" x14ac:dyDescent="0.3">
      <c r="A9" s="1" t="s">
        <v>15</v>
      </c>
      <c r="B9" s="1" t="s">
        <v>12</v>
      </c>
      <c r="C9" s="1">
        <v>3326</v>
      </c>
      <c r="D9" s="1">
        <v>3078</v>
      </c>
      <c r="E9" s="1">
        <v>1540</v>
      </c>
      <c r="F9" s="1">
        <v>580</v>
      </c>
      <c r="G9" s="1">
        <v>259</v>
      </c>
      <c r="H9" s="1">
        <v>98</v>
      </c>
      <c r="I9" s="1">
        <v>32</v>
      </c>
      <c r="J9" s="1">
        <v>1</v>
      </c>
      <c r="K9" s="1">
        <f t="shared" si="0"/>
        <v>8914</v>
      </c>
      <c r="L9" s="1"/>
    </row>
    <row r="10" spans="1:12" ht="14.25" customHeight="1" x14ac:dyDescent="0.3">
      <c r="A10" s="1" t="s">
        <v>15</v>
      </c>
      <c r="B10" s="1" t="s">
        <v>13</v>
      </c>
      <c r="C10" s="1">
        <v>190</v>
      </c>
      <c r="D10" s="1">
        <v>147</v>
      </c>
      <c r="E10" s="1">
        <v>90</v>
      </c>
      <c r="F10" s="1">
        <v>39</v>
      </c>
      <c r="G10" s="1">
        <v>26</v>
      </c>
      <c r="H10" s="1">
        <v>5</v>
      </c>
      <c r="I10" s="1">
        <v>3</v>
      </c>
      <c r="J10" s="1">
        <v>1</v>
      </c>
      <c r="K10" s="1">
        <f t="shared" si="0"/>
        <v>501</v>
      </c>
      <c r="L10" s="1"/>
    </row>
    <row r="11" spans="1:12" ht="14.25" customHeight="1" x14ac:dyDescent="0.3">
      <c r="A11" s="1" t="s">
        <v>16</v>
      </c>
      <c r="B11" s="1" t="s">
        <v>11</v>
      </c>
      <c r="C11" s="1">
        <v>1407</v>
      </c>
      <c r="D11" s="1">
        <v>907</v>
      </c>
      <c r="E11" s="1">
        <v>505</v>
      </c>
      <c r="F11" s="1">
        <v>185</v>
      </c>
      <c r="G11" s="1">
        <v>96</v>
      </c>
      <c r="H11" s="1">
        <v>68</v>
      </c>
      <c r="I11" s="1">
        <v>36</v>
      </c>
      <c r="J11" s="1">
        <v>5</v>
      </c>
      <c r="K11" s="1">
        <f t="shared" si="0"/>
        <v>3209</v>
      </c>
      <c r="L11" s="1">
        <f>SUM(K11:K13)</f>
        <v>7107</v>
      </c>
    </row>
    <row r="12" spans="1:12" ht="14.25" customHeight="1" x14ac:dyDescent="0.3">
      <c r="A12" s="1" t="s">
        <v>16</v>
      </c>
      <c r="B12" s="1" t="s">
        <v>12</v>
      </c>
      <c r="C12" s="1">
        <v>1309</v>
      </c>
      <c r="D12" s="1">
        <v>961</v>
      </c>
      <c r="E12" s="1">
        <v>685</v>
      </c>
      <c r="F12" s="1">
        <v>313</v>
      </c>
      <c r="G12" s="1">
        <v>165</v>
      </c>
      <c r="H12" s="1">
        <v>133</v>
      </c>
      <c r="I12" s="1">
        <v>59</v>
      </c>
      <c r="J12" s="1">
        <v>15</v>
      </c>
      <c r="K12" s="1">
        <f t="shared" si="0"/>
        <v>3640</v>
      </c>
      <c r="L12" s="1"/>
    </row>
    <row r="13" spans="1:12" ht="14.25" customHeight="1" x14ac:dyDescent="0.3">
      <c r="A13" s="1" t="s">
        <v>16</v>
      </c>
      <c r="B13" s="1" t="s">
        <v>13</v>
      </c>
      <c r="C13" s="1">
        <v>94</v>
      </c>
      <c r="D13" s="1">
        <v>66</v>
      </c>
      <c r="E13" s="1">
        <v>34</v>
      </c>
      <c r="F13" s="1">
        <v>26</v>
      </c>
      <c r="G13" s="1">
        <v>17</v>
      </c>
      <c r="H13" s="1">
        <v>11</v>
      </c>
      <c r="I13" s="1">
        <v>3</v>
      </c>
      <c r="J13" s="1">
        <v>7</v>
      </c>
      <c r="K13" s="1">
        <f t="shared" si="0"/>
        <v>258</v>
      </c>
      <c r="L13" s="1"/>
    </row>
    <row r="14" spans="1:12" ht="14.25" customHeight="1" x14ac:dyDescent="0.3">
      <c r="A14" s="1" t="s">
        <v>17</v>
      </c>
      <c r="B14" s="1" t="s">
        <v>11</v>
      </c>
      <c r="C14" s="1">
        <v>687</v>
      </c>
      <c r="D14" s="1">
        <v>461</v>
      </c>
      <c r="E14" s="1">
        <v>281</v>
      </c>
      <c r="F14" s="1">
        <v>107</v>
      </c>
      <c r="G14" s="1">
        <v>50</v>
      </c>
      <c r="H14" s="1">
        <v>44</v>
      </c>
      <c r="I14" s="1">
        <v>15</v>
      </c>
      <c r="J14" s="1">
        <v>3</v>
      </c>
      <c r="K14" s="1">
        <f t="shared" si="0"/>
        <v>1648</v>
      </c>
      <c r="L14" s="1">
        <f>SUM(K14:K16)</f>
        <v>3633</v>
      </c>
    </row>
    <row r="15" spans="1:12" ht="14.25" customHeight="1" x14ac:dyDescent="0.3">
      <c r="A15" s="1" t="s">
        <v>17</v>
      </c>
      <c r="B15" s="1" t="s">
        <v>12</v>
      </c>
      <c r="C15" s="1">
        <v>592</v>
      </c>
      <c r="D15" s="1">
        <v>542</v>
      </c>
      <c r="E15" s="1">
        <v>354</v>
      </c>
      <c r="F15" s="1">
        <v>140</v>
      </c>
      <c r="G15" s="1">
        <v>105</v>
      </c>
      <c r="H15" s="1">
        <v>74</v>
      </c>
      <c r="I15" s="1">
        <v>19</v>
      </c>
      <c r="J15" s="1">
        <v>5</v>
      </c>
      <c r="K15" s="1">
        <f t="shared" si="0"/>
        <v>1831</v>
      </c>
      <c r="L15" s="1"/>
    </row>
    <row r="16" spans="1:12" ht="14.25" customHeight="1" x14ac:dyDescent="0.3">
      <c r="A16" s="1" t="s">
        <v>17</v>
      </c>
      <c r="B16" s="1" t="s">
        <v>13</v>
      </c>
      <c r="C16" s="1">
        <v>37</v>
      </c>
      <c r="D16" s="1">
        <v>52</v>
      </c>
      <c r="E16" s="1">
        <v>29</v>
      </c>
      <c r="F16" s="1">
        <v>8</v>
      </c>
      <c r="G16" s="1">
        <v>13</v>
      </c>
      <c r="H16" s="1">
        <v>6</v>
      </c>
      <c r="I16" s="1">
        <v>5</v>
      </c>
      <c r="J16" s="1">
        <v>4</v>
      </c>
      <c r="K16" s="1">
        <f t="shared" si="0"/>
        <v>154</v>
      </c>
      <c r="L16" s="1"/>
    </row>
    <row r="17" spans="1:12" ht="14.25" customHeight="1" x14ac:dyDescent="0.3">
      <c r="A17" s="1" t="s">
        <v>18</v>
      </c>
      <c r="B17" s="1" t="s">
        <v>11</v>
      </c>
      <c r="C17" s="1">
        <v>1303</v>
      </c>
      <c r="D17" s="1">
        <v>1237</v>
      </c>
      <c r="E17" s="1">
        <v>684</v>
      </c>
      <c r="F17" s="1">
        <v>309</v>
      </c>
      <c r="G17" s="1">
        <v>130</v>
      </c>
      <c r="H17" s="1">
        <v>69</v>
      </c>
      <c r="I17" s="1">
        <v>35</v>
      </c>
      <c r="J17" s="1">
        <v>5</v>
      </c>
      <c r="K17" s="1">
        <f t="shared" si="0"/>
        <v>3772</v>
      </c>
      <c r="L17" s="1">
        <f>SUM(K17:K19)</f>
        <v>8608</v>
      </c>
    </row>
    <row r="18" spans="1:12" ht="14.25" customHeight="1" x14ac:dyDescent="0.3">
      <c r="A18" s="1" t="s">
        <v>18</v>
      </c>
      <c r="B18" s="1" t="s">
        <v>12</v>
      </c>
      <c r="C18" s="1">
        <v>1243</v>
      </c>
      <c r="D18" s="1">
        <v>1340</v>
      </c>
      <c r="E18" s="1">
        <v>982</v>
      </c>
      <c r="F18" s="1">
        <v>409</v>
      </c>
      <c r="G18" s="1">
        <v>241</v>
      </c>
      <c r="H18" s="1">
        <v>161</v>
      </c>
      <c r="I18" s="1">
        <v>74</v>
      </c>
      <c r="J18" s="1">
        <v>7</v>
      </c>
      <c r="K18" s="1">
        <f t="shared" si="0"/>
        <v>4457</v>
      </c>
      <c r="L18" s="1"/>
    </row>
    <row r="19" spans="1:12" ht="14.25" customHeight="1" x14ac:dyDescent="0.3">
      <c r="A19" s="1" t="s">
        <v>18</v>
      </c>
      <c r="B19" s="1" t="s">
        <v>13</v>
      </c>
      <c r="C19" s="1">
        <v>74</v>
      </c>
      <c r="D19" s="1">
        <v>151</v>
      </c>
      <c r="E19" s="1">
        <v>93</v>
      </c>
      <c r="F19" s="1">
        <v>27</v>
      </c>
      <c r="G19" s="1">
        <v>17</v>
      </c>
      <c r="H19" s="1">
        <v>11</v>
      </c>
      <c r="I19" s="1">
        <v>3</v>
      </c>
      <c r="J19" s="1">
        <v>3</v>
      </c>
      <c r="K19" s="1">
        <f t="shared" si="0"/>
        <v>379</v>
      </c>
      <c r="L19" s="1"/>
    </row>
    <row r="20" spans="1:12" ht="14.25" customHeight="1" x14ac:dyDescent="0.3">
      <c r="A20" s="1" t="s">
        <v>19</v>
      </c>
      <c r="B20" s="1" t="s">
        <v>11</v>
      </c>
      <c r="C20" s="1">
        <v>587</v>
      </c>
      <c r="D20" s="1">
        <v>554</v>
      </c>
      <c r="E20" s="1">
        <v>395</v>
      </c>
      <c r="F20" s="1">
        <v>142</v>
      </c>
      <c r="G20" s="1">
        <v>74</v>
      </c>
      <c r="H20" s="1">
        <v>68</v>
      </c>
      <c r="I20" s="1">
        <v>23</v>
      </c>
      <c r="J20" s="1">
        <v>3</v>
      </c>
      <c r="K20" s="1">
        <f t="shared" si="0"/>
        <v>1846</v>
      </c>
      <c r="L20" s="1">
        <f>SUM(K20:K22)</f>
        <v>4151</v>
      </c>
    </row>
    <row r="21" spans="1:12" ht="14.25" customHeight="1" x14ac:dyDescent="0.3">
      <c r="A21" s="1" t="s">
        <v>19</v>
      </c>
      <c r="B21" s="1" t="s">
        <v>12</v>
      </c>
      <c r="C21" s="1">
        <v>559</v>
      </c>
      <c r="D21" s="1">
        <v>610</v>
      </c>
      <c r="E21" s="1">
        <v>391</v>
      </c>
      <c r="F21" s="1">
        <v>205</v>
      </c>
      <c r="G21" s="1">
        <v>139</v>
      </c>
      <c r="H21" s="1">
        <v>125</v>
      </c>
      <c r="I21" s="1">
        <v>38</v>
      </c>
      <c r="J21" s="1">
        <v>5</v>
      </c>
      <c r="K21" s="1">
        <f t="shared" si="0"/>
        <v>2072</v>
      </c>
      <c r="L21" s="1"/>
    </row>
    <row r="22" spans="1:12" ht="14.25" customHeight="1" x14ac:dyDescent="0.3">
      <c r="A22" s="1" t="s">
        <v>19</v>
      </c>
      <c r="B22" s="1" t="s">
        <v>13</v>
      </c>
      <c r="C22" s="1">
        <v>53</v>
      </c>
      <c r="D22" s="1">
        <v>78</v>
      </c>
      <c r="E22" s="1">
        <v>53</v>
      </c>
      <c r="F22" s="1">
        <v>20</v>
      </c>
      <c r="G22" s="1">
        <v>13</v>
      </c>
      <c r="H22" s="1">
        <v>14</v>
      </c>
      <c r="I22" s="1">
        <v>2</v>
      </c>
      <c r="J22" s="1">
        <v>0</v>
      </c>
      <c r="K22" s="1">
        <f t="shared" si="0"/>
        <v>233</v>
      </c>
      <c r="L22" s="1"/>
    </row>
    <row r="23" spans="1:12" ht="14.25" customHeight="1" x14ac:dyDescent="0.3"/>
    <row r="24" spans="1:12" ht="14.25" customHeight="1" x14ac:dyDescent="0.3"/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64"/>
  <sheetViews>
    <sheetView workbookViewId="0">
      <selection activeCell="A23" sqref="A23:XFD28"/>
    </sheetView>
  </sheetViews>
  <sheetFormatPr baseColWidth="10" defaultColWidth="14.44140625" defaultRowHeight="15" customHeight="1" x14ac:dyDescent="0.3"/>
  <cols>
    <col min="1" max="1" width="17.33203125" customWidth="1"/>
    <col min="2" max="9" width="10.6640625" customWidth="1"/>
    <col min="10" max="10" width="18.33203125" customWidth="1"/>
    <col min="11" max="26" width="10.6640625" customWidth="1"/>
  </cols>
  <sheetData>
    <row r="1" spans="1:12" ht="14.25" customHeight="1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4.25" customHeight="1" x14ac:dyDescent="0.3">
      <c r="A2" s="1" t="s">
        <v>10</v>
      </c>
      <c r="B2" s="1" t="s">
        <v>11</v>
      </c>
      <c r="C2" s="1">
        <v>9638</v>
      </c>
      <c r="D2" s="1">
        <v>15583</v>
      </c>
      <c r="E2" s="1">
        <v>5408</v>
      </c>
      <c r="F2" s="1">
        <v>1535</v>
      </c>
      <c r="G2" s="1">
        <v>656</v>
      </c>
      <c r="H2" s="1">
        <v>337</v>
      </c>
      <c r="I2" s="1">
        <v>151</v>
      </c>
      <c r="J2" s="1">
        <v>33</v>
      </c>
      <c r="K2" s="1">
        <f t="shared" ref="K2:K22" si="0">SUM(C2:J2)</f>
        <v>33341</v>
      </c>
      <c r="L2" s="1">
        <f>SUM(K2:K4)</f>
        <v>59079</v>
      </c>
    </row>
    <row r="3" spans="1:12" ht="14.25" customHeight="1" x14ac:dyDescent="0.3">
      <c r="A3" s="1" t="s">
        <v>10</v>
      </c>
      <c r="B3" s="1" t="s">
        <v>12</v>
      </c>
      <c r="C3" s="1">
        <v>8985</v>
      </c>
      <c r="D3" s="1">
        <v>7368</v>
      </c>
      <c r="E3" s="1">
        <v>3887</v>
      </c>
      <c r="F3" s="1">
        <v>1734</v>
      </c>
      <c r="G3" s="1">
        <v>1171</v>
      </c>
      <c r="H3" s="1">
        <v>484</v>
      </c>
      <c r="I3" s="1">
        <v>164</v>
      </c>
      <c r="J3" s="1">
        <v>47</v>
      </c>
      <c r="K3" s="1">
        <f t="shared" si="0"/>
        <v>23840</v>
      </c>
      <c r="L3" s="1"/>
    </row>
    <row r="4" spans="1:12" ht="14.25" customHeight="1" x14ac:dyDescent="0.3">
      <c r="A4" s="1" t="s">
        <v>10</v>
      </c>
      <c r="B4" s="1" t="s">
        <v>13</v>
      </c>
      <c r="C4" s="1">
        <v>592</v>
      </c>
      <c r="D4" s="1">
        <v>787</v>
      </c>
      <c r="E4" s="1">
        <v>303</v>
      </c>
      <c r="F4" s="1">
        <v>96</v>
      </c>
      <c r="G4" s="1">
        <v>67</v>
      </c>
      <c r="H4" s="1">
        <v>34</v>
      </c>
      <c r="I4" s="1">
        <v>11</v>
      </c>
      <c r="J4" s="1">
        <v>8</v>
      </c>
      <c r="K4" s="1">
        <f t="shared" si="0"/>
        <v>1898</v>
      </c>
      <c r="L4" s="1"/>
    </row>
    <row r="5" spans="1:12" ht="14.25" customHeight="1" x14ac:dyDescent="0.3">
      <c r="A5" s="1" t="s">
        <v>14</v>
      </c>
      <c r="B5" s="1" t="s">
        <v>11</v>
      </c>
      <c r="C5" s="1">
        <v>1020</v>
      </c>
      <c r="D5" s="1">
        <v>759</v>
      </c>
      <c r="E5" s="1">
        <v>994</v>
      </c>
      <c r="F5" s="1">
        <v>709</v>
      </c>
      <c r="G5" s="1">
        <v>495</v>
      </c>
      <c r="H5" s="1">
        <v>321</v>
      </c>
      <c r="I5" s="1">
        <v>206</v>
      </c>
      <c r="J5" s="1">
        <v>33</v>
      </c>
      <c r="K5" s="1">
        <f t="shared" si="0"/>
        <v>4537</v>
      </c>
      <c r="L5" s="1">
        <f>SUM(K5:K7)</f>
        <v>8978</v>
      </c>
    </row>
    <row r="6" spans="1:12" ht="14.25" customHeight="1" x14ac:dyDescent="0.3">
      <c r="A6" s="1" t="s">
        <v>14</v>
      </c>
      <c r="B6" s="1" t="s">
        <v>12</v>
      </c>
      <c r="C6" s="1">
        <v>934</v>
      </c>
      <c r="D6" s="1">
        <v>623</v>
      </c>
      <c r="E6" s="1">
        <v>791</v>
      </c>
      <c r="F6" s="1">
        <v>605</v>
      </c>
      <c r="G6" s="1">
        <v>498</v>
      </c>
      <c r="H6" s="1">
        <v>425</v>
      </c>
      <c r="I6" s="1">
        <v>272</v>
      </c>
      <c r="J6" s="1">
        <v>69</v>
      </c>
      <c r="K6" s="1">
        <f t="shared" si="0"/>
        <v>4217</v>
      </c>
      <c r="L6" s="1"/>
    </row>
    <row r="7" spans="1:12" ht="14.25" customHeight="1" x14ac:dyDescent="0.3">
      <c r="A7" s="1" t="s">
        <v>14</v>
      </c>
      <c r="B7" s="1" t="s">
        <v>13</v>
      </c>
      <c r="C7" s="1">
        <v>46</v>
      </c>
      <c r="D7" s="1">
        <v>42</v>
      </c>
      <c r="E7" s="1">
        <v>53</v>
      </c>
      <c r="F7" s="1">
        <v>30</v>
      </c>
      <c r="G7" s="1">
        <v>18</v>
      </c>
      <c r="H7" s="1">
        <v>22</v>
      </c>
      <c r="I7" s="1">
        <v>12</v>
      </c>
      <c r="J7" s="1">
        <v>1</v>
      </c>
      <c r="K7" s="1">
        <f t="shared" si="0"/>
        <v>224</v>
      </c>
      <c r="L7" s="1"/>
    </row>
    <row r="8" spans="1:12" ht="27" customHeight="1" x14ac:dyDescent="0.3">
      <c r="A8" s="1" t="s">
        <v>15</v>
      </c>
      <c r="B8" s="1" t="s">
        <v>11</v>
      </c>
      <c r="C8" s="1">
        <v>3843</v>
      </c>
      <c r="D8" s="1">
        <v>3198</v>
      </c>
      <c r="E8" s="1">
        <v>1891</v>
      </c>
      <c r="F8" s="1">
        <v>756</v>
      </c>
      <c r="G8" s="1">
        <v>291</v>
      </c>
      <c r="H8" s="1">
        <v>74</v>
      </c>
      <c r="I8" s="1">
        <v>29</v>
      </c>
      <c r="J8" s="1">
        <v>6</v>
      </c>
      <c r="K8" s="1">
        <f t="shared" si="0"/>
        <v>10088</v>
      </c>
      <c r="L8" s="1">
        <f>SUM(K8:K10)</f>
        <v>22058</v>
      </c>
    </row>
    <row r="9" spans="1:12" ht="14.25" customHeight="1" x14ac:dyDescent="0.3">
      <c r="A9" s="1" t="s">
        <v>15</v>
      </c>
      <c r="B9" s="1" t="s">
        <v>12</v>
      </c>
      <c r="C9" s="1">
        <v>4171</v>
      </c>
      <c r="D9" s="1">
        <v>3588</v>
      </c>
      <c r="E9" s="1">
        <v>2092</v>
      </c>
      <c r="F9" s="1">
        <v>890</v>
      </c>
      <c r="G9" s="1">
        <v>348</v>
      </c>
      <c r="H9" s="1">
        <v>119</v>
      </c>
      <c r="I9" s="1">
        <v>32</v>
      </c>
      <c r="J9" s="1">
        <v>10</v>
      </c>
      <c r="K9" s="1">
        <f t="shared" si="0"/>
        <v>11250</v>
      </c>
      <c r="L9" s="1"/>
    </row>
    <row r="10" spans="1:12" ht="14.25" customHeight="1" x14ac:dyDescent="0.3">
      <c r="A10" s="1" t="s">
        <v>15</v>
      </c>
      <c r="B10" s="1" t="s">
        <v>13</v>
      </c>
      <c r="C10" s="1">
        <v>245</v>
      </c>
      <c r="D10" s="1">
        <v>244</v>
      </c>
      <c r="E10" s="1">
        <v>151</v>
      </c>
      <c r="F10" s="1">
        <v>58</v>
      </c>
      <c r="G10" s="1">
        <v>16</v>
      </c>
      <c r="H10" s="1">
        <v>6</v>
      </c>
      <c r="I10" s="1">
        <v>0</v>
      </c>
      <c r="J10" s="1">
        <v>0</v>
      </c>
      <c r="K10" s="1">
        <f t="shared" si="0"/>
        <v>720</v>
      </c>
      <c r="L10" s="1"/>
    </row>
    <row r="11" spans="1:12" ht="14.25" customHeight="1" x14ac:dyDescent="0.3">
      <c r="A11" s="1" t="s">
        <v>16</v>
      </c>
      <c r="B11" s="1" t="s">
        <v>11</v>
      </c>
      <c r="C11" s="1">
        <v>1638</v>
      </c>
      <c r="D11" s="1">
        <v>1365</v>
      </c>
      <c r="E11" s="1">
        <v>626</v>
      </c>
      <c r="F11" s="1">
        <v>205</v>
      </c>
      <c r="G11" s="1">
        <v>96</v>
      </c>
      <c r="H11" s="1">
        <v>71</v>
      </c>
      <c r="I11" s="1">
        <v>31</v>
      </c>
      <c r="J11" s="1">
        <v>4</v>
      </c>
      <c r="K11" s="1">
        <f t="shared" si="0"/>
        <v>4036</v>
      </c>
      <c r="L11" s="1">
        <f>SUM(K11:K13)</f>
        <v>8596</v>
      </c>
    </row>
    <row r="12" spans="1:12" ht="14.25" customHeight="1" x14ac:dyDescent="0.3">
      <c r="A12" s="1" t="s">
        <v>16</v>
      </c>
      <c r="B12" s="1" t="s">
        <v>12</v>
      </c>
      <c r="C12" s="1">
        <v>1529</v>
      </c>
      <c r="D12" s="1">
        <v>1175</v>
      </c>
      <c r="E12" s="1">
        <v>821</v>
      </c>
      <c r="F12" s="1">
        <v>350</v>
      </c>
      <c r="G12" s="1">
        <v>200</v>
      </c>
      <c r="H12" s="1">
        <v>133</v>
      </c>
      <c r="I12" s="1">
        <v>53</v>
      </c>
      <c r="J12" s="1">
        <v>9</v>
      </c>
      <c r="K12" s="1">
        <f t="shared" si="0"/>
        <v>4270</v>
      </c>
      <c r="L12" s="1"/>
    </row>
    <row r="13" spans="1:12" ht="14.25" customHeight="1" x14ac:dyDescent="0.3">
      <c r="A13" s="1" t="s">
        <v>16</v>
      </c>
      <c r="B13" s="1" t="s">
        <v>13</v>
      </c>
      <c r="C13" s="1">
        <v>102</v>
      </c>
      <c r="D13" s="1">
        <v>92</v>
      </c>
      <c r="E13" s="1">
        <v>40</v>
      </c>
      <c r="F13" s="1">
        <v>19</v>
      </c>
      <c r="G13" s="1">
        <v>24</v>
      </c>
      <c r="H13" s="1">
        <v>7</v>
      </c>
      <c r="I13" s="1">
        <v>6</v>
      </c>
      <c r="J13" s="1">
        <v>0</v>
      </c>
      <c r="K13" s="1">
        <f t="shared" si="0"/>
        <v>290</v>
      </c>
      <c r="L13" s="1"/>
    </row>
    <row r="14" spans="1:12" ht="14.25" customHeight="1" x14ac:dyDescent="0.3">
      <c r="A14" s="1" t="s">
        <v>17</v>
      </c>
      <c r="B14" s="1" t="s">
        <v>11</v>
      </c>
      <c r="C14" s="1">
        <v>706</v>
      </c>
      <c r="D14" s="1">
        <v>624</v>
      </c>
      <c r="E14" s="1">
        <v>403</v>
      </c>
      <c r="F14" s="1">
        <v>103</v>
      </c>
      <c r="G14" s="1">
        <v>52</v>
      </c>
      <c r="H14" s="1">
        <v>32</v>
      </c>
      <c r="I14" s="1">
        <v>8</v>
      </c>
      <c r="J14" s="1">
        <v>1</v>
      </c>
      <c r="K14" s="1">
        <f t="shared" si="0"/>
        <v>1929</v>
      </c>
      <c r="L14" s="1">
        <f>SUM(K14:K16)</f>
        <v>4090</v>
      </c>
    </row>
    <row r="15" spans="1:12" ht="14.25" customHeight="1" x14ac:dyDescent="0.3">
      <c r="A15" s="1" t="s">
        <v>17</v>
      </c>
      <c r="B15" s="1" t="s">
        <v>12</v>
      </c>
      <c r="C15" s="1">
        <v>606</v>
      </c>
      <c r="D15" s="1">
        <v>619</v>
      </c>
      <c r="E15" s="1">
        <v>407</v>
      </c>
      <c r="F15" s="1">
        <v>155</v>
      </c>
      <c r="G15" s="1">
        <v>125</v>
      </c>
      <c r="H15" s="1">
        <v>70</v>
      </c>
      <c r="I15" s="1">
        <v>19</v>
      </c>
      <c r="J15" s="1">
        <v>5</v>
      </c>
      <c r="K15" s="1">
        <f t="shared" si="0"/>
        <v>2006</v>
      </c>
      <c r="L15" s="1"/>
    </row>
    <row r="16" spans="1:12" ht="14.25" customHeight="1" x14ac:dyDescent="0.3">
      <c r="A16" s="1" t="s">
        <v>17</v>
      </c>
      <c r="B16" s="1" t="s">
        <v>13</v>
      </c>
      <c r="C16" s="1">
        <v>46</v>
      </c>
      <c r="D16" s="1">
        <v>56</v>
      </c>
      <c r="E16" s="1">
        <v>23</v>
      </c>
      <c r="F16" s="1">
        <v>7</v>
      </c>
      <c r="G16" s="1">
        <v>10</v>
      </c>
      <c r="H16" s="1">
        <v>11</v>
      </c>
      <c r="I16" s="1">
        <v>1</v>
      </c>
      <c r="J16" s="1">
        <v>1</v>
      </c>
      <c r="K16" s="1">
        <f t="shared" si="0"/>
        <v>155</v>
      </c>
      <c r="L16" s="1"/>
    </row>
    <row r="17" spans="1:12" ht="14.25" customHeight="1" x14ac:dyDescent="0.3">
      <c r="A17" s="1" t="s">
        <v>18</v>
      </c>
      <c r="B17" s="1" t="s">
        <v>11</v>
      </c>
      <c r="C17" s="1">
        <v>1283</v>
      </c>
      <c r="D17" s="1">
        <v>1508</v>
      </c>
      <c r="E17" s="1">
        <v>904</v>
      </c>
      <c r="F17" s="1">
        <v>342</v>
      </c>
      <c r="G17" s="1">
        <v>128</v>
      </c>
      <c r="H17" s="1">
        <v>78</v>
      </c>
      <c r="I17" s="1">
        <v>32</v>
      </c>
      <c r="J17" s="1">
        <v>12</v>
      </c>
      <c r="K17" s="1">
        <f t="shared" si="0"/>
        <v>4287</v>
      </c>
      <c r="L17" s="1">
        <f>SUM(K17:K19)</f>
        <v>9658</v>
      </c>
    </row>
    <row r="18" spans="1:12" ht="14.25" customHeight="1" x14ac:dyDescent="0.3">
      <c r="A18" s="1" t="s">
        <v>18</v>
      </c>
      <c r="B18" s="1" t="s">
        <v>12</v>
      </c>
      <c r="C18" s="1">
        <v>1235</v>
      </c>
      <c r="D18" s="1">
        <v>1585</v>
      </c>
      <c r="E18" s="1">
        <v>1108</v>
      </c>
      <c r="F18" s="1">
        <v>495</v>
      </c>
      <c r="G18" s="1">
        <v>275</v>
      </c>
      <c r="H18" s="1">
        <v>149</v>
      </c>
      <c r="I18" s="1">
        <v>67</v>
      </c>
      <c r="J18" s="1">
        <v>13</v>
      </c>
      <c r="K18" s="1">
        <f t="shared" si="0"/>
        <v>4927</v>
      </c>
      <c r="L18" s="1"/>
    </row>
    <row r="19" spans="1:12" ht="14.25" customHeight="1" x14ac:dyDescent="0.3">
      <c r="A19" s="1" t="s">
        <v>18</v>
      </c>
      <c r="B19" s="1" t="s">
        <v>13</v>
      </c>
      <c r="C19" s="1">
        <v>98</v>
      </c>
      <c r="D19" s="1">
        <v>183</v>
      </c>
      <c r="E19" s="1">
        <v>96</v>
      </c>
      <c r="F19" s="1">
        <v>43</v>
      </c>
      <c r="G19" s="1">
        <v>13</v>
      </c>
      <c r="H19" s="1">
        <v>8</v>
      </c>
      <c r="I19" s="1">
        <v>3</v>
      </c>
      <c r="J19" s="1">
        <v>0</v>
      </c>
      <c r="K19" s="1">
        <f t="shared" si="0"/>
        <v>444</v>
      </c>
      <c r="L19" s="1"/>
    </row>
    <row r="20" spans="1:12" ht="14.25" customHeight="1" x14ac:dyDescent="0.3">
      <c r="A20" s="1" t="s">
        <v>19</v>
      </c>
      <c r="B20" s="1" t="s">
        <v>11</v>
      </c>
      <c r="C20" s="1">
        <v>531</v>
      </c>
      <c r="D20" s="1">
        <v>639</v>
      </c>
      <c r="E20" s="1">
        <v>457</v>
      </c>
      <c r="F20" s="1">
        <v>186</v>
      </c>
      <c r="G20" s="1">
        <v>103</v>
      </c>
      <c r="H20" s="1">
        <v>60</v>
      </c>
      <c r="I20" s="1">
        <v>20</v>
      </c>
      <c r="J20" s="1">
        <v>6</v>
      </c>
      <c r="K20" s="1">
        <f t="shared" si="0"/>
        <v>2002</v>
      </c>
      <c r="L20" s="1">
        <f>SUM(K20:K22)</f>
        <v>4384</v>
      </c>
    </row>
    <row r="21" spans="1:12" ht="14.25" customHeight="1" x14ac:dyDescent="0.3">
      <c r="A21" s="1" t="s">
        <v>19</v>
      </c>
      <c r="B21" s="1" t="s">
        <v>12</v>
      </c>
      <c r="C21" s="1">
        <v>539</v>
      </c>
      <c r="D21" s="1">
        <v>682</v>
      </c>
      <c r="E21" s="1">
        <v>450</v>
      </c>
      <c r="F21" s="1">
        <v>167</v>
      </c>
      <c r="G21" s="1">
        <v>153</v>
      </c>
      <c r="H21" s="1">
        <v>114</v>
      </c>
      <c r="I21" s="1">
        <v>43</v>
      </c>
      <c r="J21" s="1">
        <v>12</v>
      </c>
      <c r="K21" s="1">
        <f t="shared" si="0"/>
        <v>2160</v>
      </c>
      <c r="L21" s="1"/>
    </row>
    <row r="22" spans="1:12" ht="14.25" customHeight="1" x14ac:dyDescent="0.3">
      <c r="A22" s="1" t="s">
        <v>19</v>
      </c>
      <c r="B22" s="1" t="s">
        <v>13</v>
      </c>
      <c r="C22" s="1">
        <v>33</v>
      </c>
      <c r="D22" s="1">
        <v>100</v>
      </c>
      <c r="E22" s="1">
        <v>47</v>
      </c>
      <c r="F22" s="1">
        <v>15</v>
      </c>
      <c r="G22" s="1">
        <v>17</v>
      </c>
      <c r="H22" s="1">
        <v>4</v>
      </c>
      <c r="I22" s="1">
        <v>6</v>
      </c>
      <c r="J22" s="1">
        <v>0</v>
      </c>
      <c r="K22" s="1">
        <f t="shared" si="0"/>
        <v>222</v>
      </c>
      <c r="L22" s="1"/>
    </row>
    <row r="23" spans="1:12" ht="14.25" customHeight="1" x14ac:dyDescent="0.3"/>
    <row r="24" spans="1:12" ht="14.25" customHeight="1" x14ac:dyDescent="0.3"/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2"/>
  <sheetViews>
    <sheetView workbookViewId="0">
      <selection activeCell="A20" sqref="A20:XFD20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v>9107</v>
      </c>
      <c r="D2" s="1">
        <v>16892</v>
      </c>
      <c r="E2" s="1">
        <v>5739</v>
      </c>
      <c r="F2" s="1">
        <v>1189</v>
      </c>
      <c r="G2" s="1">
        <v>568</v>
      </c>
      <c r="H2" s="1">
        <v>359</v>
      </c>
      <c r="I2" s="1">
        <v>109</v>
      </c>
      <c r="J2" s="1">
        <v>36</v>
      </c>
      <c r="K2" s="1">
        <f t="shared" ref="K2:K22" si="0">SUM(C2:J2)</f>
        <v>33999</v>
      </c>
      <c r="L2" s="1">
        <f>SUM(K2:K4)</f>
        <v>57557</v>
      </c>
    </row>
    <row r="3" spans="1:12" x14ac:dyDescent="0.3">
      <c r="A3" s="1" t="s">
        <v>10</v>
      </c>
      <c r="B3" s="1" t="s">
        <v>12</v>
      </c>
      <c r="C3" s="1">
        <v>8574</v>
      </c>
      <c r="D3" s="1">
        <v>8059</v>
      </c>
      <c r="E3" s="1">
        <v>3668</v>
      </c>
      <c r="F3" s="1">
        <v>1482</v>
      </c>
      <c r="G3" s="1">
        <v>1079</v>
      </c>
      <c r="H3" s="1">
        <v>463</v>
      </c>
      <c r="I3" s="1">
        <v>193</v>
      </c>
      <c r="J3" s="1">
        <v>40</v>
      </c>
      <c r="K3" s="1">
        <f t="shared" si="0"/>
        <v>23558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 t="shared" si="0"/>
        <v>0</v>
      </c>
      <c r="L4" s="1"/>
    </row>
    <row r="5" spans="1:12" x14ac:dyDescent="0.3">
      <c r="A5" s="1" t="s">
        <v>14</v>
      </c>
      <c r="B5" s="1" t="s">
        <v>11</v>
      </c>
      <c r="C5" s="1">
        <v>1277</v>
      </c>
      <c r="D5" s="1">
        <v>711</v>
      </c>
      <c r="E5" s="1">
        <v>1158</v>
      </c>
      <c r="F5" s="1">
        <v>1011</v>
      </c>
      <c r="G5" s="1">
        <v>613</v>
      </c>
      <c r="H5" s="1">
        <v>378</v>
      </c>
      <c r="I5" s="1">
        <v>182</v>
      </c>
      <c r="J5" s="1">
        <v>44</v>
      </c>
      <c r="K5" s="1">
        <f t="shared" si="0"/>
        <v>5374</v>
      </c>
      <c r="L5" s="1">
        <f>SUM(K5:K7)</f>
        <v>10599</v>
      </c>
    </row>
    <row r="6" spans="1:12" x14ac:dyDescent="0.3">
      <c r="A6" s="1" t="s">
        <v>14</v>
      </c>
      <c r="B6" s="1" t="s">
        <v>12</v>
      </c>
      <c r="C6" s="1">
        <v>1203</v>
      </c>
      <c r="D6" s="1">
        <v>690</v>
      </c>
      <c r="E6" s="1">
        <v>923</v>
      </c>
      <c r="F6" s="1">
        <v>852</v>
      </c>
      <c r="G6" s="1">
        <v>631</v>
      </c>
      <c r="H6" s="1">
        <v>535</v>
      </c>
      <c r="I6" s="1">
        <v>314</v>
      </c>
      <c r="J6" s="1">
        <v>77</v>
      </c>
      <c r="K6" s="1">
        <f t="shared" si="0"/>
        <v>5225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f t="shared" si="0"/>
        <v>0</v>
      </c>
      <c r="L7" s="1"/>
    </row>
    <row r="8" spans="1:12" x14ac:dyDescent="0.3">
      <c r="A8" s="1" t="s">
        <v>15</v>
      </c>
      <c r="B8" s="1" t="s">
        <v>11</v>
      </c>
      <c r="C8" s="1">
        <v>4607</v>
      </c>
      <c r="D8" s="1">
        <v>3190</v>
      </c>
      <c r="E8" s="1">
        <v>1950</v>
      </c>
      <c r="F8" s="1">
        <v>916</v>
      </c>
      <c r="G8" s="1">
        <v>416</v>
      </c>
      <c r="H8" s="1">
        <v>120</v>
      </c>
      <c r="I8" s="1">
        <v>18</v>
      </c>
      <c r="J8" s="1">
        <v>3</v>
      </c>
      <c r="K8" s="1">
        <f t="shared" si="0"/>
        <v>11220</v>
      </c>
      <c r="L8" s="1">
        <f>SUM(K8:K10)</f>
        <v>23147</v>
      </c>
    </row>
    <row r="9" spans="1:12" x14ac:dyDescent="0.3">
      <c r="A9" s="1" t="s">
        <v>15</v>
      </c>
      <c r="B9" s="1" t="s">
        <v>12</v>
      </c>
      <c r="C9" s="1">
        <v>4563</v>
      </c>
      <c r="D9" s="1">
        <v>3436</v>
      </c>
      <c r="E9" s="1">
        <v>2188</v>
      </c>
      <c r="F9" s="1">
        <v>1086</v>
      </c>
      <c r="G9" s="1">
        <v>478</v>
      </c>
      <c r="H9" s="1">
        <v>136</v>
      </c>
      <c r="I9" s="1">
        <v>32</v>
      </c>
      <c r="J9" s="1">
        <v>8</v>
      </c>
      <c r="K9" s="1">
        <f t="shared" si="0"/>
        <v>11927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f t="shared" si="0"/>
        <v>0</v>
      </c>
      <c r="L10" s="1"/>
    </row>
    <row r="11" spans="1:12" x14ac:dyDescent="0.3">
      <c r="A11" s="1" t="s">
        <v>16</v>
      </c>
      <c r="B11" s="1" t="s">
        <v>11</v>
      </c>
      <c r="C11" s="1">
        <v>1703</v>
      </c>
      <c r="D11" s="1">
        <v>1223</v>
      </c>
      <c r="E11" s="1">
        <v>696</v>
      </c>
      <c r="F11" s="1">
        <v>281</v>
      </c>
      <c r="G11" s="1">
        <v>134</v>
      </c>
      <c r="H11" s="1">
        <v>71</v>
      </c>
      <c r="I11" s="1">
        <v>33</v>
      </c>
      <c r="J11" s="1">
        <v>9</v>
      </c>
      <c r="K11" s="1">
        <f t="shared" si="0"/>
        <v>4150</v>
      </c>
      <c r="L11" s="1">
        <f>SUM(K11:K13)</f>
        <v>8787</v>
      </c>
    </row>
    <row r="12" spans="1:12" x14ac:dyDescent="0.3">
      <c r="A12" s="1" t="s">
        <v>16</v>
      </c>
      <c r="B12" s="1" t="s">
        <v>12</v>
      </c>
      <c r="C12" s="1">
        <v>1667</v>
      </c>
      <c r="D12" s="1">
        <v>1222</v>
      </c>
      <c r="E12" s="1">
        <v>909</v>
      </c>
      <c r="F12" s="1">
        <v>421</v>
      </c>
      <c r="G12" s="1">
        <v>235</v>
      </c>
      <c r="H12" s="1">
        <v>115</v>
      </c>
      <c r="I12" s="1">
        <v>64</v>
      </c>
      <c r="J12" s="1">
        <v>4</v>
      </c>
      <c r="K12" s="1">
        <f t="shared" si="0"/>
        <v>4637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f t="shared" si="0"/>
        <v>0</v>
      </c>
      <c r="L13" s="1"/>
    </row>
    <row r="14" spans="1:12" x14ac:dyDescent="0.3">
      <c r="A14" s="1" t="s">
        <v>17</v>
      </c>
      <c r="B14" s="1" t="s">
        <v>11</v>
      </c>
      <c r="C14" s="1">
        <v>644</v>
      </c>
      <c r="D14" s="1">
        <v>534</v>
      </c>
      <c r="E14" s="1">
        <v>376</v>
      </c>
      <c r="F14" s="1">
        <v>126</v>
      </c>
      <c r="G14" s="1">
        <v>72</v>
      </c>
      <c r="H14" s="1">
        <v>47</v>
      </c>
      <c r="I14" s="1">
        <v>13</v>
      </c>
      <c r="J14" s="1">
        <v>4</v>
      </c>
      <c r="K14" s="1">
        <f t="shared" si="0"/>
        <v>1816</v>
      </c>
      <c r="L14" s="1">
        <f>SUM(K14:K16)</f>
        <v>3937</v>
      </c>
    </row>
    <row r="15" spans="1:12" x14ac:dyDescent="0.3">
      <c r="A15" s="1" t="s">
        <v>17</v>
      </c>
      <c r="B15" s="1" t="s">
        <v>12</v>
      </c>
      <c r="C15" s="1">
        <v>663</v>
      </c>
      <c r="D15" s="1">
        <v>588</v>
      </c>
      <c r="E15" s="1">
        <v>427</v>
      </c>
      <c r="F15" s="1">
        <v>188</v>
      </c>
      <c r="G15" s="1">
        <v>152</v>
      </c>
      <c r="H15" s="1">
        <v>81</v>
      </c>
      <c r="I15" s="1">
        <v>19</v>
      </c>
      <c r="J15" s="1">
        <v>3</v>
      </c>
      <c r="K15" s="1">
        <f t="shared" si="0"/>
        <v>2121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f t="shared" si="0"/>
        <v>0</v>
      </c>
      <c r="L16" s="1"/>
    </row>
    <row r="17" spans="1:12" x14ac:dyDescent="0.3">
      <c r="A17" s="1" t="s">
        <v>18</v>
      </c>
      <c r="B17" s="1" t="s">
        <v>11</v>
      </c>
      <c r="C17" s="1">
        <v>1608</v>
      </c>
      <c r="D17" s="1">
        <v>1711</v>
      </c>
      <c r="E17" s="1">
        <v>1057</v>
      </c>
      <c r="F17" s="1">
        <v>429</v>
      </c>
      <c r="G17" s="1">
        <v>164</v>
      </c>
      <c r="H17" s="1">
        <v>102</v>
      </c>
      <c r="I17" s="1">
        <v>39</v>
      </c>
      <c r="J17" s="1">
        <v>6</v>
      </c>
      <c r="K17" s="1">
        <f t="shared" si="0"/>
        <v>5116</v>
      </c>
      <c r="L17" s="1">
        <f>SUM(K17:K19)</f>
        <v>11020</v>
      </c>
    </row>
    <row r="18" spans="1:12" x14ac:dyDescent="0.3">
      <c r="A18" s="1" t="s">
        <v>18</v>
      </c>
      <c r="B18" s="1" t="s">
        <v>12</v>
      </c>
      <c r="C18" s="1">
        <v>1512</v>
      </c>
      <c r="D18" s="1">
        <v>1876</v>
      </c>
      <c r="E18" s="1">
        <v>1321</v>
      </c>
      <c r="F18" s="1">
        <v>617</v>
      </c>
      <c r="G18" s="1">
        <v>323</v>
      </c>
      <c r="H18" s="1">
        <v>175</v>
      </c>
      <c r="I18" s="1">
        <v>70</v>
      </c>
      <c r="J18" s="1">
        <v>10</v>
      </c>
      <c r="K18" s="1">
        <f t="shared" si="0"/>
        <v>5904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f t="shared" si="0"/>
        <v>0</v>
      </c>
      <c r="L19" s="1"/>
    </row>
    <row r="20" spans="1:12" x14ac:dyDescent="0.3">
      <c r="A20" s="1" t="s">
        <v>19</v>
      </c>
      <c r="B20" s="1" t="s">
        <v>11</v>
      </c>
      <c r="C20" s="1">
        <v>456</v>
      </c>
      <c r="D20" s="1">
        <v>692</v>
      </c>
      <c r="E20" s="1">
        <v>520</v>
      </c>
      <c r="F20" s="1">
        <v>183</v>
      </c>
      <c r="G20" s="1">
        <v>91</v>
      </c>
      <c r="H20" s="1">
        <v>64</v>
      </c>
      <c r="I20" s="1">
        <v>22</v>
      </c>
      <c r="J20" s="1">
        <v>8</v>
      </c>
      <c r="K20" s="1">
        <f t="shared" si="0"/>
        <v>2036</v>
      </c>
      <c r="L20" s="1">
        <f>SUM(K20:K22)</f>
        <v>4368</v>
      </c>
    </row>
    <row r="21" spans="1:12" x14ac:dyDescent="0.3">
      <c r="A21" s="1" t="s">
        <v>19</v>
      </c>
      <c r="B21" s="1" t="s">
        <v>12</v>
      </c>
      <c r="C21" s="1">
        <v>490</v>
      </c>
      <c r="D21" s="1">
        <v>764</v>
      </c>
      <c r="E21" s="1">
        <v>491</v>
      </c>
      <c r="F21" s="1">
        <v>229</v>
      </c>
      <c r="G21" s="1">
        <v>172</v>
      </c>
      <c r="H21" s="1">
        <v>136</v>
      </c>
      <c r="I21" s="1">
        <v>43</v>
      </c>
      <c r="J21" s="1">
        <v>7</v>
      </c>
      <c r="K21" s="1">
        <f t="shared" si="0"/>
        <v>2332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f t="shared" si="0"/>
        <v>0</v>
      </c>
      <c r="L2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2"/>
  <sheetViews>
    <sheetView workbookViewId="0">
      <selection activeCell="C27" sqref="C27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v>9008</v>
      </c>
      <c r="D2" s="1">
        <v>16901</v>
      </c>
      <c r="E2" s="1">
        <v>6783</v>
      </c>
      <c r="F2" s="1">
        <v>1817</v>
      </c>
      <c r="G2" s="1">
        <v>754</v>
      </c>
      <c r="H2" s="1">
        <v>399</v>
      </c>
      <c r="I2" s="1">
        <v>138</v>
      </c>
      <c r="J2" s="1">
        <v>27</v>
      </c>
      <c r="K2" s="1">
        <f t="shared" ref="K2:K22" si="0">SUM(C2:J2)</f>
        <v>35827</v>
      </c>
      <c r="L2" s="1">
        <f>SUM(K2:K4)</f>
        <v>61077</v>
      </c>
    </row>
    <row r="3" spans="1:12" x14ac:dyDescent="0.3">
      <c r="A3" s="1" t="s">
        <v>10</v>
      </c>
      <c r="B3" s="1" t="s">
        <v>12</v>
      </c>
      <c r="C3" s="1">
        <v>8219</v>
      </c>
      <c r="D3" s="1">
        <v>8453</v>
      </c>
      <c r="E3" s="1">
        <v>4561</v>
      </c>
      <c r="F3" s="1">
        <v>1924</v>
      </c>
      <c r="G3" s="1">
        <v>1229</v>
      </c>
      <c r="H3" s="1">
        <v>592</v>
      </c>
      <c r="I3" s="1">
        <v>218</v>
      </c>
      <c r="J3" s="1">
        <v>54</v>
      </c>
      <c r="K3" s="1">
        <f t="shared" si="0"/>
        <v>25250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 t="shared" si="0"/>
        <v>0</v>
      </c>
      <c r="L4" s="1"/>
    </row>
    <row r="5" spans="1:12" x14ac:dyDescent="0.3">
      <c r="A5" s="1" t="s">
        <v>14</v>
      </c>
      <c r="B5" s="1" t="s">
        <v>11</v>
      </c>
      <c r="C5" s="1">
        <v>2715</v>
      </c>
      <c r="D5" s="1">
        <v>1428</v>
      </c>
      <c r="E5" s="1">
        <v>2340</v>
      </c>
      <c r="F5" s="1">
        <v>2137</v>
      </c>
      <c r="G5" s="1">
        <v>1252</v>
      </c>
      <c r="H5" s="1">
        <v>744</v>
      </c>
      <c r="I5" s="1">
        <v>395</v>
      </c>
      <c r="J5" s="1">
        <v>152</v>
      </c>
      <c r="K5" s="1">
        <f t="shared" si="0"/>
        <v>11163</v>
      </c>
      <c r="L5" s="1">
        <f>SUM(K5:K7)</f>
        <v>20334</v>
      </c>
    </row>
    <row r="6" spans="1:12" x14ac:dyDescent="0.3">
      <c r="A6" s="1" t="s">
        <v>14</v>
      </c>
      <c r="B6" s="1" t="s">
        <v>12</v>
      </c>
      <c r="C6" s="1">
        <v>2472</v>
      </c>
      <c r="D6" s="1">
        <v>1297</v>
      </c>
      <c r="E6" s="1">
        <v>1477</v>
      </c>
      <c r="F6" s="1">
        <v>1358</v>
      </c>
      <c r="G6" s="1">
        <v>1025</v>
      </c>
      <c r="H6" s="1">
        <v>787</v>
      </c>
      <c r="I6" s="1">
        <v>525</v>
      </c>
      <c r="J6" s="1">
        <v>230</v>
      </c>
      <c r="K6" s="1">
        <f t="shared" si="0"/>
        <v>9171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f t="shared" si="0"/>
        <v>0</v>
      </c>
      <c r="L7" s="1"/>
    </row>
    <row r="8" spans="1:12" x14ac:dyDescent="0.3">
      <c r="A8" s="1" t="s">
        <v>15</v>
      </c>
      <c r="B8" s="1" t="s">
        <v>11</v>
      </c>
      <c r="C8" s="1">
        <v>4531</v>
      </c>
      <c r="D8" s="1">
        <v>3570</v>
      </c>
      <c r="E8" s="1">
        <v>2030</v>
      </c>
      <c r="F8" s="1">
        <v>845</v>
      </c>
      <c r="G8" s="1">
        <v>364</v>
      </c>
      <c r="H8" s="1">
        <v>135</v>
      </c>
      <c r="I8" s="1">
        <v>25</v>
      </c>
      <c r="J8" s="1">
        <v>3</v>
      </c>
      <c r="K8" s="1">
        <f t="shared" si="0"/>
        <v>11503</v>
      </c>
      <c r="L8" s="1">
        <f>SUM(K8:K10)</f>
        <v>23787</v>
      </c>
    </row>
    <row r="9" spans="1:12" x14ac:dyDescent="0.3">
      <c r="A9" s="1" t="s">
        <v>15</v>
      </c>
      <c r="B9" s="1" t="s">
        <v>12</v>
      </c>
      <c r="C9" s="1">
        <v>4570</v>
      </c>
      <c r="D9" s="1">
        <v>3834</v>
      </c>
      <c r="E9" s="1">
        <v>2080</v>
      </c>
      <c r="F9" s="1">
        <v>1003</v>
      </c>
      <c r="G9" s="1">
        <v>549</v>
      </c>
      <c r="H9" s="1">
        <v>197</v>
      </c>
      <c r="I9" s="1">
        <v>46</v>
      </c>
      <c r="J9" s="1">
        <v>5</v>
      </c>
      <c r="K9" s="1">
        <f t="shared" si="0"/>
        <v>12284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f t="shared" si="0"/>
        <v>0</v>
      </c>
      <c r="L10" s="1"/>
    </row>
    <row r="11" spans="1:12" x14ac:dyDescent="0.3">
      <c r="A11" s="1" t="s">
        <v>16</v>
      </c>
      <c r="B11" s="1" t="s">
        <v>11</v>
      </c>
      <c r="C11" s="1">
        <v>1772</v>
      </c>
      <c r="D11" s="1">
        <v>1506</v>
      </c>
      <c r="E11" s="1">
        <v>908</v>
      </c>
      <c r="F11" s="1">
        <v>285</v>
      </c>
      <c r="G11" s="1">
        <v>122</v>
      </c>
      <c r="H11" s="1">
        <v>86</v>
      </c>
      <c r="I11" s="1">
        <v>40</v>
      </c>
      <c r="J11" s="1">
        <v>8</v>
      </c>
      <c r="K11" s="1">
        <f t="shared" si="0"/>
        <v>4727</v>
      </c>
      <c r="L11" s="1">
        <f>SUM(K11:K13)</f>
        <v>10156</v>
      </c>
    </row>
    <row r="12" spans="1:12" x14ac:dyDescent="0.3">
      <c r="A12" s="1" t="s">
        <v>16</v>
      </c>
      <c r="B12" s="1" t="s">
        <v>12</v>
      </c>
      <c r="C12" s="1">
        <v>1876</v>
      </c>
      <c r="D12" s="1">
        <v>1541</v>
      </c>
      <c r="E12" s="1">
        <v>1060</v>
      </c>
      <c r="F12" s="1">
        <v>448</v>
      </c>
      <c r="G12" s="1">
        <v>275</v>
      </c>
      <c r="H12" s="1">
        <v>152</v>
      </c>
      <c r="I12" s="1">
        <v>70</v>
      </c>
      <c r="J12" s="1">
        <v>7</v>
      </c>
      <c r="K12" s="1">
        <f t="shared" si="0"/>
        <v>5429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f t="shared" si="0"/>
        <v>0</v>
      </c>
      <c r="L13" s="1"/>
    </row>
    <row r="14" spans="1:12" x14ac:dyDescent="0.3">
      <c r="A14" s="1" t="s">
        <v>17</v>
      </c>
      <c r="B14" s="1" t="s">
        <v>11</v>
      </c>
      <c r="C14" s="1">
        <v>743</v>
      </c>
      <c r="D14" s="1">
        <v>659</v>
      </c>
      <c r="E14" s="1">
        <v>394</v>
      </c>
      <c r="F14" s="1">
        <v>134</v>
      </c>
      <c r="G14" s="1">
        <v>77</v>
      </c>
      <c r="H14" s="1">
        <v>41</v>
      </c>
      <c r="I14" s="1">
        <v>10</v>
      </c>
      <c r="J14" s="1">
        <v>0</v>
      </c>
      <c r="K14" s="1">
        <f t="shared" si="0"/>
        <v>2058</v>
      </c>
      <c r="L14" s="1">
        <f>SUM(K14:K16)</f>
        <v>4389</v>
      </c>
    </row>
    <row r="15" spans="1:12" x14ac:dyDescent="0.3">
      <c r="A15" s="1" t="s">
        <v>17</v>
      </c>
      <c r="B15" s="1" t="s">
        <v>12</v>
      </c>
      <c r="C15" s="1">
        <v>760</v>
      </c>
      <c r="D15" s="1">
        <v>672</v>
      </c>
      <c r="E15" s="1">
        <v>448</v>
      </c>
      <c r="F15" s="1">
        <v>168</v>
      </c>
      <c r="G15" s="1">
        <v>167</v>
      </c>
      <c r="H15" s="1">
        <v>88</v>
      </c>
      <c r="I15" s="1">
        <v>26</v>
      </c>
      <c r="J15" s="1">
        <v>2</v>
      </c>
      <c r="K15" s="1">
        <f t="shared" si="0"/>
        <v>2331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f t="shared" si="0"/>
        <v>0</v>
      </c>
      <c r="L16" s="1"/>
    </row>
    <row r="17" spans="1:12" x14ac:dyDescent="0.3">
      <c r="A17" s="1" t="s">
        <v>18</v>
      </c>
      <c r="B17" s="1" t="s">
        <v>11</v>
      </c>
      <c r="C17" s="1">
        <v>1782</v>
      </c>
      <c r="D17" s="1">
        <v>1820</v>
      </c>
      <c r="E17" s="1">
        <v>1103</v>
      </c>
      <c r="F17" s="1">
        <v>404</v>
      </c>
      <c r="G17" s="1">
        <v>209</v>
      </c>
      <c r="H17" s="1">
        <v>98</v>
      </c>
      <c r="I17" s="1">
        <v>45</v>
      </c>
      <c r="J17" s="1">
        <v>11</v>
      </c>
      <c r="K17" s="1">
        <f t="shared" si="0"/>
        <v>5472</v>
      </c>
      <c r="L17" s="1">
        <f>SUM(K17:K19)</f>
        <v>11982</v>
      </c>
    </row>
    <row r="18" spans="1:12" x14ac:dyDescent="0.3">
      <c r="A18" s="1" t="s">
        <v>18</v>
      </c>
      <c r="B18" s="1" t="s">
        <v>12</v>
      </c>
      <c r="C18" s="1">
        <v>1752</v>
      </c>
      <c r="D18" s="1">
        <v>1994</v>
      </c>
      <c r="E18" s="1">
        <v>1396</v>
      </c>
      <c r="F18" s="1">
        <v>649</v>
      </c>
      <c r="G18" s="1">
        <v>389</v>
      </c>
      <c r="H18" s="1">
        <v>224</v>
      </c>
      <c r="I18" s="1">
        <v>84</v>
      </c>
      <c r="J18" s="1">
        <v>22</v>
      </c>
      <c r="K18" s="1">
        <f t="shared" si="0"/>
        <v>6510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f t="shared" si="0"/>
        <v>0</v>
      </c>
      <c r="L19" s="1"/>
    </row>
    <row r="20" spans="1:12" x14ac:dyDescent="0.3">
      <c r="A20" s="1" t="s">
        <v>19</v>
      </c>
      <c r="B20" s="1" t="s">
        <v>11</v>
      </c>
      <c r="C20" s="1">
        <v>432</v>
      </c>
      <c r="D20" s="1">
        <v>639</v>
      </c>
      <c r="E20" s="1">
        <v>487</v>
      </c>
      <c r="F20" s="1">
        <v>153</v>
      </c>
      <c r="G20" s="1">
        <v>79</v>
      </c>
      <c r="H20" s="1">
        <v>62</v>
      </c>
      <c r="I20" s="1">
        <v>33</v>
      </c>
      <c r="J20" s="1">
        <v>7</v>
      </c>
      <c r="K20" s="1">
        <f t="shared" si="0"/>
        <v>1892</v>
      </c>
      <c r="L20" s="1">
        <f>SUM(K20:K22)</f>
        <v>4181</v>
      </c>
    </row>
    <row r="21" spans="1:12" x14ac:dyDescent="0.3">
      <c r="A21" s="1" t="s">
        <v>19</v>
      </c>
      <c r="B21" s="1" t="s">
        <v>12</v>
      </c>
      <c r="C21" s="1">
        <v>432</v>
      </c>
      <c r="D21" s="1">
        <v>806</v>
      </c>
      <c r="E21" s="1">
        <v>549</v>
      </c>
      <c r="F21" s="1">
        <v>165</v>
      </c>
      <c r="G21" s="1">
        <v>154</v>
      </c>
      <c r="H21" s="1">
        <v>120</v>
      </c>
      <c r="I21" s="1">
        <v>52</v>
      </c>
      <c r="J21" s="1">
        <v>11</v>
      </c>
      <c r="K21" s="1">
        <f t="shared" si="0"/>
        <v>2289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f t="shared" si="0"/>
        <v>0</v>
      </c>
      <c r="L2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2"/>
  <sheetViews>
    <sheetView zoomScaleNormal="100" workbookViewId="0">
      <selection activeCell="C30" sqref="C30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1751+1496+2567+3380</f>
        <v>9194</v>
      </c>
      <c r="D2" s="1">
        <f>8176+9097</f>
        <v>17273</v>
      </c>
      <c r="E2" s="1">
        <f>5188+2573</f>
        <v>7761</v>
      </c>
      <c r="F2" s="1">
        <f>1377+681</f>
        <v>2058</v>
      </c>
      <c r="G2" s="1">
        <f>470+364</f>
        <v>834</v>
      </c>
      <c r="H2" s="1">
        <f>341+205</f>
        <v>546</v>
      </c>
      <c r="I2" s="1">
        <f>112+72</f>
        <v>184</v>
      </c>
      <c r="J2" s="1">
        <v>35</v>
      </c>
      <c r="K2" s="1">
        <f t="shared" ref="K2:K22" si="0">SUM(C2:J2)</f>
        <v>37885</v>
      </c>
      <c r="L2" s="1">
        <f>SUM(K2:K4)</f>
        <v>66533</v>
      </c>
    </row>
    <row r="3" spans="1:12" x14ac:dyDescent="0.3">
      <c r="A3" s="1" t="s">
        <v>10</v>
      </c>
      <c r="B3" s="1" t="s">
        <v>12</v>
      </c>
      <c r="C3" s="1">
        <f>1712+1406+2451+3058</f>
        <v>8627</v>
      </c>
      <c r="D3" s="1">
        <f>4512+4938</f>
        <v>9450</v>
      </c>
      <c r="E3" s="1">
        <f>3545+2121</f>
        <v>5666</v>
      </c>
      <c r="F3" s="1">
        <f>1286+910</f>
        <v>2196</v>
      </c>
      <c r="G3" s="1">
        <f>861+722</f>
        <v>1583</v>
      </c>
      <c r="H3" s="1">
        <f>512+283</f>
        <v>795</v>
      </c>
      <c r="I3" s="1">
        <f>150+103</f>
        <v>253</v>
      </c>
      <c r="J3" s="1">
        <v>78</v>
      </c>
      <c r="K3" s="1">
        <f t="shared" si="0"/>
        <v>28648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 t="shared" si="0"/>
        <v>0</v>
      </c>
      <c r="L4" s="1"/>
    </row>
    <row r="5" spans="1:12" x14ac:dyDescent="0.3">
      <c r="A5" s="1" t="s">
        <v>14</v>
      </c>
      <c r="B5" s="1" t="s">
        <v>11</v>
      </c>
      <c r="C5" s="1">
        <f>19+1025+1701+1262</f>
        <v>4007</v>
      </c>
      <c r="D5" s="1">
        <f>1049+1373</f>
        <v>2422</v>
      </c>
      <c r="E5" s="1">
        <f>2041+2330</f>
        <v>4371</v>
      </c>
      <c r="F5" s="1">
        <f>2064+1540</f>
        <v>3604</v>
      </c>
      <c r="G5" s="1">
        <f>1047+923</f>
        <v>1970</v>
      </c>
      <c r="H5" s="1">
        <f>676+552</f>
        <v>1228</v>
      </c>
      <c r="I5" s="1">
        <f>419+277</f>
        <v>696</v>
      </c>
      <c r="J5" s="1">
        <v>176</v>
      </c>
      <c r="K5" s="1">
        <f t="shared" si="0"/>
        <v>18474</v>
      </c>
      <c r="L5" s="1">
        <f>SUM(K5:K7)</f>
        <v>33114</v>
      </c>
    </row>
    <row r="6" spans="1:12" x14ac:dyDescent="0.3">
      <c r="A6" s="1" t="s">
        <v>14</v>
      </c>
      <c r="B6" s="1" t="s">
        <v>12</v>
      </c>
      <c r="C6" s="1">
        <f>18+920+1572+1054</f>
        <v>3564</v>
      </c>
      <c r="D6" s="1">
        <f>1223+1085</f>
        <v>2308</v>
      </c>
      <c r="E6" s="1">
        <f>1196+1271</f>
        <v>2467</v>
      </c>
      <c r="F6" s="1">
        <f>1184+1005</f>
        <v>2189</v>
      </c>
      <c r="G6" s="1">
        <f>766+750</f>
        <v>1516</v>
      </c>
      <c r="H6" s="1">
        <f>679+652</f>
        <v>1331</v>
      </c>
      <c r="I6" s="1">
        <f>584+416</f>
        <v>1000</v>
      </c>
      <c r="J6" s="1">
        <v>265</v>
      </c>
      <c r="K6" s="1">
        <f t="shared" si="0"/>
        <v>14640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f t="shared" si="0"/>
        <v>0</v>
      </c>
      <c r="L7" s="1"/>
    </row>
    <row r="8" spans="1:12" x14ac:dyDescent="0.3">
      <c r="A8" s="1" t="s">
        <v>15</v>
      </c>
      <c r="B8" s="1" t="s">
        <v>11</v>
      </c>
      <c r="C8" s="1">
        <f>717+1004+1250+1936</f>
        <v>4907</v>
      </c>
      <c r="D8" s="1">
        <f>2067+1973</f>
        <v>4040</v>
      </c>
      <c r="E8" s="1">
        <f>1410+868</f>
        <v>2278</v>
      </c>
      <c r="F8" s="1">
        <f>476+339</f>
        <v>815</v>
      </c>
      <c r="G8" s="1">
        <f>269+192</f>
        <v>461</v>
      </c>
      <c r="H8" s="1">
        <f>108+56</f>
        <v>164</v>
      </c>
      <c r="I8" s="1">
        <f>33+18</f>
        <v>51</v>
      </c>
      <c r="J8" s="1">
        <v>4</v>
      </c>
      <c r="K8" s="1">
        <f t="shared" si="0"/>
        <v>12720</v>
      </c>
      <c r="L8" s="1">
        <f>SUM(K8:K10)</f>
        <v>26175</v>
      </c>
    </row>
    <row r="9" spans="1:12" x14ac:dyDescent="0.3">
      <c r="A9" s="1" t="s">
        <v>15</v>
      </c>
      <c r="B9" s="1" t="s">
        <v>12</v>
      </c>
      <c r="C9" s="1">
        <f>685+988+1252+2116</f>
        <v>5041</v>
      </c>
      <c r="D9" s="1">
        <f>2433+1828</f>
        <v>4261</v>
      </c>
      <c r="E9" s="1">
        <f>1314+880</f>
        <v>2194</v>
      </c>
      <c r="F9" s="1">
        <f>574+432</f>
        <v>1006</v>
      </c>
      <c r="G9" s="1">
        <f>340+272</f>
        <v>612</v>
      </c>
      <c r="H9" s="1">
        <f>165+106</f>
        <v>271</v>
      </c>
      <c r="I9" s="1">
        <f>49+13</f>
        <v>62</v>
      </c>
      <c r="J9" s="1">
        <v>8</v>
      </c>
      <c r="K9" s="1">
        <f t="shared" si="0"/>
        <v>13455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f t="shared" si="0"/>
        <v>0</v>
      </c>
      <c r="L10" s="1"/>
    </row>
    <row r="11" spans="1:12" x14ac:dyDescent="0.3">
      <c r="A11" s="1" t="s">
        <v>16</v>
      </c>
      <c r="B11" s="1" t="s">
        <v>11</v>
      </c>
      <c r="C11" s="1">
        <f>158+436+609+534</f>
        <v>1737</v>
      </c>
      <c r="D11" s="1">
        <f>752+949</f>
        <v>1701</v>
      </c>
      <c r="E11" s="1">
        <f>682+361</f>
        <v>1043</v>
      </c>
      <c r="F11" s="1">
        <f>189+155</f>
        <v>344</v>
      </c>
      <c r="G11" s="1">
        <f>83+82</f>
        <v>165</v>
      </c>
      <c r="H11" s="1">
        <f>72+36</f>
        <v>108</v>
      </c>
      <c r="I11" s="1">
        <f>18+13</f>
        <v>31</v>
      </c>
      <c r="J11" s="1">
        <v>10</v>
      </c>
      <c r="K11" s="1">
        <f t="shared" si="0"/>
        <v>5139</v>
      </c>
      <c r="L11" s="1">
        <f>SUM(K11:K13)</f>
        <v>10929</v>
      </c>
    </row>
    <row r="12" spans="1:12" x14ac:dyDescent="0.3">
      <c r="A12" s="1" t="s">
        <v>16</v>
      </c>
      <c r="B12" s="1" t="s">
        <v>12</v>
      </c>
      <c r="C12" s="1">
        <f>155+461+592+583</f>
        <v>1791</v>
      </c>
      <c r="D12" s="1">
        <f>668+963</f>
        <v>1631</v>
      </c>
      <c r="E12" s="1">
        <f>710+482</f>
        <v>1192</v>
      </c>
      <c r="F12" s="1">
        <f>276+191</f>
        <v>467</v>
      </c>
      <c r="G12" s="1">
        <f>207+168</f>
        <v>375</v>
      </c>
      <c r="H12" s="1">
        <f>146+93</f>
        <v>239</v>
      </c>
      <c r="I12" s="1">
        <f>64+22</f>
        <v>86</v>
      </c>
      <c r="J12" s="1">
        <v>9</v>
      </c>
      <c r="K12" s="1">
        <f t="shared" si="0"/>
        <v>5790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f t="shared" si="0"/>
        <v>0</v>
      </c>
      <c r="L13" s="1"/>
    </row>
    <row r="14" spans="1:12" x14ac:dyDescent="0.3">
      <c r="A14" s="1" t="s">
        <v>17</v>
      </c>
      <c r="B14" s="1" t="s">
        <v>11</v>
      </c>
      <c r="C14" s="1">
        <f>188+173+219+272</f>
        <v>852</v>
      </c>
      <c r="D14" s="1">
        <f>367+453</f>
        <v>820</v>
      </c>
      <c r="E14" s="1">
        <f>267+188</f>
        <v>455</v>
      </c>
      <c r="F14" s="1">
        <f>90+54</f>
        <v>144</v>
      </c>
      <c r="G14" s="1">
        <f>59+50</f>
        <v>109</v>
      </c>
      <c r="H14" s="1">
        <f>32+31</f>
        <v>63</v>
      </c>
      <c r="I14" s="1">
        <f>13+3</f>
        <v>16</v>
      </c>
      <c r="J14" s="1">
        <v>2</v>
      </c>
      <c r="K14" s="1">
        <f t="shared" si="0"/>
        <v>2461</v>
      </c>
      <c r="L14" s="1">
        <f>SUM(K14:K16)</f>
        <v>5158</v>
      </c>
    </row>
    <row r="15" spans="1:12" x14ac:dyDescent="0.3">
      <c r="A15" s="1" t="s">
        <v>17</v>
      </c>
      <c r="B15" s="1" t="s">
        <v>12</v>
      </c>
      <c r="C15" s="1">
        <f>193+165+213+278</f>
        <v>849</v>
      </c>
      <c r="D15" s="1">
        <f>324+371</f>
        <v>695</v>
      </c>
      <c r="E15" s="1">
        <f>340+214</f>
        <v>554</v>
      </c>
      <c r="F15" s="1">
        <f>130+92</f>
        <v>222</v>
      </c>
      <c r="G15" s="1">
        <f>99+92</f>
        <v>191</v>
      </c>
      <c r="H15" s="1">
        <f>93+47</f>
        <v>140</v>
      </c>
      <c r="I15" s="1">
        <f>30+12</f>
        <v>42</v>
      </c>
      <c r="J15" s="1">
        <v>4</v>
      </c>
      <c r="K15" s="1">
        <f t="shared" si="0"/>
        <v>2697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f t="shared" si="0"/>
        <v>0</v>
      </c>
      <c r="L16" s="1"/>
    </row>
    <row r="17" spans="1:12" x14ac:dyDescent="0.3">
      <c r="A17" s="1" t="s">
        <v>18</v>
      </c>
      <c r="B17" s="1" t="s">
        <v>11</v>
      </c>
      <c r="C17" s="1">
        <f>405+403+425+401</f>
        <v>1634</v>
      </c>
      <c r="D17" s="1">
        <f>773+992</f>
        <v>1765</v>
      </c>
      <c r="E17" s="1">
        <f>669+371</f>
        <v>1040</v>
      </c>
      <c r="F17" s="1">
        <f>234+166</f>
        <v>400</v>
      </c>
      <c r="G17" s="1">
        <f>117+96</f>
        <v>213</v>
      </c>
      <c r="H17" s="1">
        <f>56+43</f>
        <v>99</v>
      </c>
      <c r="I17" s="1">
        <f>44+15</f>
        <v>59</v>
      </c>
      <c r="J17" s="1">
        <v>16</v>
      </c>
      <c r="K17" s="1">
        <f t="shared" si="0"/>
        <v>5226</v>
      </c>
      <c r="L17" s="1">
        <f>SUM(K17:K19)</f>
        <v>11408</v>
      </c>
    </row>
    <row r="18" spans="1:12" x14ac:dyDescent="0.3">
      <c r="A18" s="1" t="s">
        <v>18</v>
      </c>
      <c r="B18" s="1" t="s">
        <v>12</v>
      </c>
      <c r="C18" s="1">
        <f>393+384+341+437</f>
        <v>1555</v>
      </c>
      <c r="D18" s="1">
        <f>842+1061</f>
        <v>1903</v>
      </c>
      <c r="E18" s="1">
        <f>869+522</f>
        <v>1391</v>
      </c>
      <c r="F18" s="1">
        <f>338+259</f>
        <v>597</v>
      </c>
      <c r="G18" s="1">
        <f>173+176</f>
        <v>349</v>
      </c>
      <c r="H18" s="1">
        <f>143+130</f>
        <v>273</v>
      </c>
      <c r="I18" s="1">
        <f>74+27</f>
        <v>101</v>
      </c>
      <c r="J18" s="1">
        <v>13</v>
      </c>
      <c r="K18" s="1">
        <f t="shared" si="0"/>
        <v>6182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f t="shared" si="0"/>
        <v>0</v>
      </c>
      <c r="L19" s="1"/>
    </row>
    <row r="20" spans="1:12" x14ac:dyDescent="0.3">
      <c r="A20" s="1" t="s">
        <v>19</v>
      </c>
      <c r="B20" s="1" t="s">
        <v>11</v>
      </c>
      <c r="C20" s="1">
        <f>96+115+167+182</f>
        <v>560</v>
      </c>
      <c r="D20" s="1">
        <f>249+409</f>
        <v>658</v>
      </c>
      <c r="E20" s="1">
        <f>328+245</f>
        <v>573</v>
      </c>
      <c r="F20" s="1">
        <f>124+63</f>
        <v>187</v>
      </c>
      <c r="G20" s="1">
        <f>60+55</f>
        <v>115</v>
      </c>
      <c r="H20" s="1">
        <f>58+49</f>
        <v>107</v>
      </c>
      <c r="I20" s="1">
        <f>34+13</f>
        <v>47</v>
      </c>
      <c r="J20" s="1">
        <v>5</v>
      </c>
      <c r="K20" s="1">
        <f t="shared" si="0"/>
        <v>2252</v>
      </c>
      <c r="L20" s="1">
        <f>SUM(K20:K22)</f>
        <v>4895</v>
      </c>
    </row>
    <row r="21" spans="1:12" x14ac:dyDescent="0.3">
      <c r="A21" s="1" t="s">
        <v>19</v>
      </c>
      <c r="B21" s="1" t="s">
        <v>12</v>
      </c>
      <c r="C21" s="1">
        <f>95+117+145+191</f>
        <v>548</v>
      </c>
      <c r="D21" s="1">
        <f>339+473</f>
        <v>812</v>
      </c>
      <c r="E21" s="1">
        <f>351+223</f>
        <v>574</v>
      </c>
      <c r="F21" s="1">
        <f>161+110</f>
        <v>271</v>
      </c>
      <c r="G21" s="1">
        <f>77+111</f>
        <v>188</v>
      </c>
      <c r="H21" s="1">
        <f>104+65</f>
        <v>169</v>
      </c>
      <c r="I21" s="1">
        <f>43+20</f>
        <v>63</v>
      </c>
      <c r="J21" s="1">
        <v>18</v>
      </c>
      <c r="K21" s="1">
        <f t="shared" si="0"/>
        <v>2643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f t="shared" si="0"/>
        <v>0</v>
      </c>
      <c r="L2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2"/>
  <sheetViews>
    <sheetView topLeftCell="A13" workbookViewId="0">
      <selection activeCell="B27" sqref="B27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1826+1436+2390+3710</f>
        <v>9362</v>
      </c>
      <c r="D2" s="1">
        <f>8580+8819</f>
        <v>17399</v>
      </c>
      <c r="E2" s="1">
        <f>5241+3283</f>
        <v>8524</v>
      </c>
      <c r="F2" s="1">
        <f>1944+1139</f>
        <v>3083</v>
      </c>
      <c r="G2" s="1">
        <f>785+598</f>
        <v>1383</v>
      </c>
      <c r="H2" s="1">
        <f>515+328</f>
        <v>843</v>
      </c>
      <c r="I2" s="1">
        <f>139+76</f>
        <v>215</v>
      </c>
      <c r="J2" s="1">
        <v>62</v>
      </c>
      <c r="K2" s="1">
        <f t="shared" ref="K2:K21" si="0">SUM(C2:J2)</f>
        <v>40871</v>
      </c>
      <c r="L2" s="1">
        <f>SUM(K2:K4)</f>
        <v>72351</v>
      </c>
    </row>
    <row r="3" spans="1:12" x14ac:dyDescent="0.3">
      <c r="A3" s="1" t="s">
        <v>10</v>
      </c>
      <c r="B3" s="1" t="s">
        <v>12</v>
      </c>
      <c r="C3" s="1">
        <f>1659+1393+2270+3227</f>
        <v>8549</v>
      </c>
      <c r="D3" s="1">
        <f>4746+5025</f>
        <v>9771</v>
      </c>
      <c r="E3" s="1">
        <f>3812+2767</f>
        <v>6579</v>
      </c>
      <c r="F3" s="1">
        <f>1832+1338</f>
        <v>3170</v>
      </c>
      <c r="G3" s="1">
        <f>1030+986</f>
        <v>2016</v>
      </c>
      <c r="H3" s="1">
        <f>691+351</f>
        <v>1042</v>
      </c>
      <c r="I3" s="1">
        <f>192+92</f>
        <v>284</v>
      </c>
      <c r="J3" s="1">
        <v>64</v>
      </c>
      <c r="K3" s="1">
        <f t="shared" si="0"/>
        <v>31475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v>5</v>
      </c>
      <c r="L4" s="1"/>
    </row>
    <row r="5" spans="1:12" x14ac:dyDescent="0.3">
      <c r="A5" s="1" t="s">
        <v>14</v>
      </c>
      <c r="B5" s="1" t="s">
        <v>11</v>
      </c>
      <c r="C5" s="1">
        <f>5+160+437+1388</f>
        <v>1990</v>
      </c>
      <c r="D5" s="1">
        <f>1120+1306</f>
        <v>2426</v>
      </c>
      <c r="E5" s="1">
        <f>2134+2464</f>
        <v>4598</v>
      </c>
      <c r="F5" s="1">
        <f>2215+1641</f>
        <v>3856</v>
      </c>
      <c r="G5" s="1">
        <f>1075+844</f>
        <v>1919</v>
      </c>
      <c r="H5" s="1">
        <f>619+451</f>
        <v>1070</v>
      </c>
      <c r="I5" s="1">
        <f>319+180</f>
        <v>499</v>
      </c>
      <c r="J5" s="1">
        <v>66</v>
      </c>
      <c r="K5" s="1">
        <f t="shared" si="0"/>
        <v>16424</v>
      </c>
      <c r="L5" s="1">
        <f>SUM(K5:K7)</f>
        <v>28916</v>
      </c>
    </row>
    <row r="6" spans="1:12" x14ac:dyDescent="0.3">
      <c r="A6" s="1" t="s">
        <v>14</v>
      </c>
      <c r="B6" s="1" t="s">
        <v>12</v>
      </c>
      <c r="C6" s="1">
        <f>10+168+346+1312</f>
        <v>1836</v>
      </c>
      <c r="D6" s="1">
        <f>1287+1169</f>
        <v>2456</v>
      </c>
      <c r="E6" s="1">
        <f>1359+1441</f>
        <v>2800</v>
      </c>
      <c r="F6" s="1">
        <f>1281+974</f>
        <v>2255</v>
      </c>
      <c r="G6" s="1">
        <f>721+678</f>
        <v>1399</v>
      </c>
      <c r="H6" s="1">
        <f>534+490</f>
        <v>1024</v>
      </c>
      <c r="I6" s="1">
        <f>381+263</f>
        <v>644</v>
      </c>
      <c r="J6" s="1">
        <f>78</f>
        <v>78</v>
      </c>
      <c r="K6" s="1">
        <f t="shared" si="0"/>
        <v>12492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f t="shared" si="0"/>
        <v>0</v>
      </c>
      <c r="L7" s="1"/>
    </row>
    <row r="8" spans="1:12" x14ac:dyDescent="0.3">
      <c r="A8" s="1" t="s">
        <v>15</v>
      </c>
      <c r="B8" s="1" t="s">
        <v>11</v>
      </c>
      <c r="C8" s="1">
        <f>636+1177+1619+2125</f>
        <v>5557</v>
      </c>
      <c r="D8" s="1">
        <f>1405+1234</f>
        <v>2639</v>
      </c>
      <c r="E8" s="1">
        <f>1028+801</f>
        <v>1829</v>
      </c>
      <c r="F8" s="1">
        <f>488+396</f>
        <v>884</v>
      </c>
      <c r="G8" s="1">
        <f>355+247</f>
        <v>602</v>
      </c>
      <c r="H8" s="1">
        <f>171+103</f>
        <v>274</v>
      </c>
      <c r="I8" s="1">
        <f>36+18</f>
        <v>54</v>
      </c>
      <c r="J8" s="1">
        <v>20</v>
      </c>
      <c r="K8" s="1">
        <f t="shared" si="0"/>
        <v>11859</v>
      </c>
      <c r="L8" s="1">
        <f>SUM(K8:K10)</f>
        <v>24858</v>
      </c>
    </row>
    <row r="9" spans="1:12" x14ac:dyDescent="0.3">
      <c r="A9" s="1" t="s">
        <v>15</v>
      </c>
      <c r="B9" s="1" t="s">
        <v>12</v>
      </c>
      <c r="C9" s="1">
        <f>671+1206+1586+2203</f>
        <v>5666</v>
      </c>
      <c r="D9" s="1">
        <f>1609+1284</f>
        <v>2893</v>
      </c>
      <c r="E9" s="1">
        <f>1095+805</f>
        <v>1900</v>
      </c>
      <c r="F9" s="1">
        <f>643+535</f>
        <v>1178</v>
      </c>
      <c r="G9" s="1">
        <f>453+390</f>
        <v>843</v>
      </c>
      <c r="H9" s="1">
        <f>250+142</f>
        <v>392</v>
      </c>
      <c r="I9" s="1">
        <f>79+26</f>
        <v>105</v>
      </c>
      <c r="J9" s="1">
        <v>21</v>
      </c>
      <c r="K9" s="1">
        <f t="shared" si="0"/>
        <v>12998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v>1</v>
      </c>
      <c r="L10" s="1"/>
    </row>
    <row r="11" spans="1:12" x14ac:dyDescent="0.3">
      <c r="A11" s="1" t="s">
        <v>16</v>
      </c>
      <c r="B11" s="1" t="s">
        <v>11</v>
      </c>
      <c r="C11" s="1">
        <f>140+402+616+641</f>
        <v>1799</v>
      </c>
      <c r="D11" s="1">
        <f>625+893</f>
        <v>1518</v>
      </c>
      <c r="E11" s="1">
        <f>638+403</f>
        <v>1041</v>
      </c>
      <c r="F11" s="1">
        <f>207+127</f>
        <v>334</v>
      </c>
      <c r="G11" s="1">
        <f>102+67</f>
        <v>169</v>
      </c>
      <c r="H11" s="1">
        <f>54+58</f>
        <v>112</v>
      </c>
      <c r="I11" s="1">
        <f>30+15</f>
        <v>45</v>
      </c>
      <c r="J11" s="1">
        <v>8</v>
      </c>
      <c r="K11" s="1">
        <f t="shared" si="0"/>
        <v>5026</v>
      </c>
      <c r="L11" s="1">
        <f>SUM(K11:K13)</f>
        <v>10693</v>
      </c>
    </row>
    <row r="12" spans="1:12" x14ac:dyDescent="0.3">
      <c r="A12" s="1" t="s">
        <v>16</v>
      </c>
      <c r="B12" s="1" t="s">
        <v>12</v>
      </c>
      <c r="C12" s="1">
        <f>140+417+618+597</f>
        <v>1772</v>
      </c>
      <c r="D12" s="1">
        <f>612+894</f>
        <v>1506</v>
      </c>
      <c r="E12" s="1">
        <f>679+504</f>
        <v>1183</v>
      </c>
      <c r="F12" s="1">
        <f>273+202</f>
        <v>475</v>
      </c>
      <c r="G12" s="1">
        <f>179+190</f>
        <v>369</v>
      </c>
      <c r="H12" s="1">
        <f>134+108</f>
        <v>242</v>
      </c>
      <c r="I12" s="1">
        <f>68+37</f>
        <v>105</v>
      </c>
      <c r="J12" s="1">
        <v>15</v>
      </c>
      <c r="K12" s="1">
        <f t="shared" si="0"/>
        <v>5667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f t="shared" si="0"/>
        <v>0</v>
      </c>
      <c r="L13" s="1"/>
    </row>
    <row r="14" spans="1:12" x14ac:dyDescent="0.3">
      <c r="A14" s="1" t="s">
        <v>17</v>
      </c>
      <c r="B14" s="1" t="s">
        <v>11</v>
      </c>
      <c r="C14" s="1">
        <f>210+198+254+315</f>
        <v>977</v>
      </c>
      <c r="D14" s="1">
        <f>331+482</f>
        <v>813</v>
      </c>
      <c r="E14" s="1">
        <f>345+231</f>
        <v>576</v>
      </c>
      <c r="F14" s="1">
        <f>126+71</f>
        <v>197</v>
      </c>
      <c r="G14" s="1">
        <f>54+46</f>
        <v>100</v>
      </c>
      <c r="H14" s="1">
        <f>45+25</f>
        <v>70</v>
      </c>
      <c r="I14" s="1">
        <f>19+9</f>
        <v>28</v>
      </c>
      <c r="J14" s="1">
        <v>3</v>
      </c>
      <c r="K14" s="1">
        <f t="shared" si="0"/>
        <v>2764</v>
      </c>
      <c r="L14" s="1">
        <f>SUM(K14:K16)</f>
        <v>5729</v>
      </c>
    </row>
    <row r="15" spans="1:12" x14ac:dyDescent="0.3">
      <c r="A15" s="1" t="s">
        <v>17</v>
      </c>
      <c r="B15" s="1" t="s">
        <v>12</v>
      </c>
      <c r="C15" s="1">
        <f>200+202+271+264</f>
        <v>937</v>
      </c>
      <c r="D15" s="1">
        <f>335+397</f>
        <v>732</v>
      </c>
      <c r="E15" s="1">
        <f>369+282</f>
        <v>651</v>
      </c>
      <c r="F15" s="1">
        <f>148+118</f>
        <v>266</v>
      </c>
      <c r="G15" s="1">
        <f>94+106</f>
        <v>200</v>
      </c>
      <c r="H15" s="1">
        <f>98+47</f>
        <v>145</v>
      </c>
      <c r="I15" s="1">
        <f>20+11</f>
        <v>31</v>
      </c>
      <c r="J15" s="1">
        <v>2</v>
      </c>
      <c r="K15" s="1">
        <f t="shared" si="0"/>
        <v>2964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v>1</v>
      </c>
      <c r="L16" s="1"/>
    </row>
    <row r="17" spans="1:12" x14ac:dyDescent="0.3">
      <c r="A17" s="1" t="s">
        <v>18</v>
      </c>
      <c r="B17" s="1" t="s">
        <v>11</v>
      </c>
      <c r="C17" s="1">
        <f>497+416+374+429</f>
        <v>1716</v>
      </c>
      <c r="D17" s="1">
        <f>714+910</f>
        <v>1624</v>
      </c>
      <c r="E17" s="1">
        <f>599+382</f>
        <v>981</v>
      </c>
      <c r="F17" s="1">
        <f>259+178</f>
        <v>437</v>
      </c>
      <c r="G17" s="1">
        <f>145+92</f>
        <v>237</v>
      </c>
      <c r="H17" s="1">
        <f>88+62</f>
        <v>150</v>
      </c>
      <c r="I17" s="1">
        <f>36+18</f>
        <v>54</v>
      </c>
      <c r="J17" s="1">
        <v>8</v>
      </c>
      <c r="K17" s="1">
        <f t="shared" si="0"/>
        <v>5207</v>
      </c>
      <c r="L17" s="1">
        <f>SUM(K17:K19)</f>
        <v>11700</v>
      </c>
    </row>
    <row r="18" spans="1:12" x14ac:dyDescent="0.3">
      <c r="A18" s="1" t="s">
        <v>18</v>
      </c>
      <c r="B18" s="1" t="s">
        <v>12</v>
      </c>
      <c r="C18" s="1">
        <f>503+416+376+471</f>
        <v>1766</v>
      </c>
      <c r="D18" s="1">
        <f>804+1016</f>
        <v>1820</v>
      </c>
      <c r="E18" s="1">
        <f>859+560</f>
        <v>1419</v>
      </c>
      <c r="F18" s="1">
        <f>358+287</f>
        <v>645</v>
      </c>
      <c r="G18" s="1">
        <f>231+192</f>
        <v>423</v>
      </c>
      <c r="H18" s="1">
        <f>165+124</f>
        <v>289</v>
      </c>
      <c r="I18" s="1">
        <f>85+23</f>
        <v>108</v>
      </c>
      <c r="J18" s="1">
        <v>22</v>
      </c>
      <c r="K18" s="1">
        <f t="shared" si="0"/>
        <v>6492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1</v>
      </c>
      <c r="L19" s="1"/>
    </row>
    <row r="20" spans="1:12" x14ac:dyDescent="0.3">
      <c r="A20" s="1" t="s">
        <v>19</v>
      </c>
      <c r="B20" s="1" t="s">
        <v>11</v>
      </c>
      <c r="C20" s="1">
        <f>105+177+213+257</f>
        <v>752</v>
      </c>
      <c r="D20" s="1">
        <f>299+438</f>
        <v>737</v>
      </c>
      <c r="E20" s="1">
        <f>367+262</f>
        <v>629</v>
      </c>
      <c r="F20" s="1">
        <f>185+116</f>
        <v>301</v>
      </c>
      <c r="G20" s="1">
        <f>72+76</f>
        <v>148</v>
      </c>
      <c r="H20" s="1">
        <f>67+48</f>
        <v>115</v>
      </c>
      <c r="I20" s="1">
        <f>29+20</f>
        <v>49</v>
      </c>
      <c r="J20" s="1">
        <v>9</v>
      </c>
      <c r="K20" s="1">
        <f t="shared" si="0"/>
        <v>2740</v>
      </c>
      <c r="L20" s="1">
        <f>SUM(K20:K22)</f>
        <v>5901</v>
      </c>
    </row>
    <row r="21" spans="1:12" x14ac:dyDescent="0.3">
      <c r="A21" s="1" t="s">
        <v>19</v>
      </c>
      <c r="B21" s="1" t="s">
        <v>12</v>
      </c>
      <c r="C21" s="1">
        <f>101+128+208+279</f>
        <v>716</v>
      </c>
      <c r="D21" s="1">
        <f>348+518</f>
        <v>866</v>
      </c>
      <c r="E21" s="1">
        <f>473+269</f>
        <v>742</v>
      </c>
      <c r="F21" s="1">
        <f>186+101</f>
        <v>287</v>
      </c>
      <c r="G21" s="1">
        <f>104+126</f>
        <v>230</v>
      </c>
      <c r="H21" s="1">
        <f>126+101</f>
        <v>227</v>
      </c>
      <c r="I21" s="1">
        <f>50+28</f>
        <v>78</v>
      </c>
      <c r="J21" s="1">
        <v>14</v>
      </c>
      <c r="K21" s="1">
        <f t="shared" si="0"/>
        <v>3160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v>1</v>
      </c>
      <c r="L2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2"/>
  <sheetViews>
    <sheetView topLeftCell="A11" workbookViewId="0">
      <selection activeCell="C28" sqref="C28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1674+1423+2177+4116</f>
        <v>9390</v>
      </c>
      <c r="D2" s="1">
        <f>9544+8868</f>
        <v>18412</v>
      </c>
      <c r="E2" s="1">
        <f>5962+6327</f>
        <v>12289</v>
      </c>
      <c r="F2" s="1">
        <f>4720+2980</f>
        <v>7700</v>
      </c>
      <c r="G2" s="1">
        <f>2128+1439</f>
        <v>3567</v>
      </c>
      <c r="H2" s="1">
        <f>952+550</f>
        <v>1502</v>
      </c>
      <c r="I2" s="1">
        <f>205+125</f>
        <v>330</v>
      </c>
      <c r="J2" s="1">
        <v>96</v>
      </c>
      <c r="K2" s="1">
        <f t="shared" ref="K2:K21" si="0">SUM(C2:J2)</f>
        <v>53286</v>
      </c>
      <c r="L2" s="1">
        <f>SUM(K2:K4)</f>
        <v>95039</v>
      </c>
    </row>
    <row r="3" spans="1:12" x14ac:dyDescent="0.3">
      <c r="A3" s="1" t="s">
        <v>10</v>
      </c>
      <c r="B3" s="1" t="s">
        <v>12</v>
      </c>
      <c r="C3" s="1">
        <f>1589+1436+2002+3717</f>
        <v>8744</v>
      </c>
      <c r="D3" s="1">
        <f>5681+5372</f>
        <v>11053</v>
      </c>
      <c r="E3" s="1">
        <f>4993+4771</f>
        <v>9764</v>
      </c>
      <c r="F3" s="1">
        <f>3741+2700</f>
        <v>6441</v>
      </c>
      <c r="G3" s="1">
        <f>1983+1452</f>
        <v>3435</v>
      </c>
      <c r="H3" s="1">
        <f>1047+581</f>
        <v>1628</v>
      </c>
      <c r="I3" s="1">
        <f>339+185</f>
        <v>524</v>
      </c>
      <c r="J3" s="1">
        <v>164</v>
      </c>
      <c r="K3" s="1">
        <f t="shared" si="0"/>
        <v>41753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 t="shared" si="0"/>
        <v>0</v>
      </c>
      <c r="L4" s="1"/>
    </row>
    <row r="5" spans="1:12" x14ac:dyDescent="0.3">
      <c r="A5" s="1" t="s">
        <v>14</v>
      </c>
      <c r="B5" s="1" t="s">
        <v>11</v>
      </c>
      <c r="C5" s="1">
        <f>60+197+578+660</f>
        <v>1495</v>
      </c>
      <c r="D5" s="1">
        <f>632+864</f>
        <v>1496</v>
      </c>
      <c r="E5" s="1">
        <f>1123+1381</f>
        <v>2504</v>
      </c>
      <c r="F5" s="1">
        <f>1144+953</f>
        <v>2097</v>
      </c>
      <c r="G5" s="1">
        <f>660+513</f>
        <v>1173</v>
      </c>
      <c r="H5" s="1">
        <f>405+281</f>
        <v>686</v>
      </c>
      <c r="I5" s="1">
        <f>183+125</f>
        <v>308</v>
      </c>
      <c r="J5" s="1">
        <v>76</v>
      </c>
      <c r="K5" s="1">
        <f t="shared" si="0"/>
        <v>9835</v>
      </c>
      <c r="L5" s="1">
        <f>SUM(K5:K7)</f>
        <v>17558</v>
      </c>
    </row>
    <row r="6" spans="1:12" x14ac:dyDescent="0.3">
      <c r="A6" s="1" t="s">
        <v>14</v>
      </c>
      <c r="B6" s="1" t="s">
        <v>12</v>
      </c>
      <c r="C6" s="1">
        <f>54+190+498+699</f>
        <v>1441</v>
      </c>
      <c r="D6" s="1">
        <f>630+795</f>
        <v>1425</v>
      </c>
      <c r="E6" s="1">
        <f>706+721</f>
        <v>1427</v>
      </c>
      <c r="F6" s="1">
        <f>693+587</f>
        <v>1280</v>
      </c>
      <c r="G6" s="1">
        <f>475+434</f>
        <v>909</v>
      </c>
      <c r="H6" s="1">
        <f>347+302</f>
        <v>649</v>
      </c>
      <c r="I6" s="1">
        <f>248+205</f>
        <v>453</v>
      </c>
      <c r="J6" s="1">
        <v>138</v>
      </c>
      <c r="K6" s="1">
        <f t="shared" si="0"/>
        <v>7722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1</v>
      </c>
      <c r="L7" s="1"/>
    </row>
    <row r="8" spans="1:12" x14ac:dyDescent="0.3">
      <c r="A8" s="1" t="s">
        <v>15</v>
      </c>
      <c r="B8" s="1" t="s">
        <v>11</v>
      </c>
      <c r="C8" s="1">
        <f>810+1281+1388+1900</f>
        <v>5379</v>
      </c>
      <c r="D8" s="1">
        <f>2100+2163</f>
        <v>4263</v>
      </c>
      <c r="E8" s="1">
        <f>1325+861</f>
        <v>2186</v>
      </c>
      <c r="F8" s="1">
        <f>428+280</f>
        <v>708</v>
      </c>
      <c r="G8" s="1">
        <f>260+187</f>
        <v>447</v>
      </c>
      <c r="H8" s="1">
        <f>123+86</f>
        <v>209</v>
      </c>
      <c r="I8" s="1">
        <f>41+28</f>
        <v>69</v>
      </c>
      <c r="J8" s="1">
        <v>11</v>
      </c>
      <c r="K8" s="1">
        <f t="shared" si="0"/>
        <v>13272</v>
      </c>
      <c r="L8" s="1">
        <f>SUM(K8:K10)</f>
        <v>27189</v>
      </c>
    </row>
    <row r="9" spans="1:12" x14ac:dyDescent="0.3">
      <c r="A9" s="1" t="s">
        <v>15</v>
      </c>
      <c r="B9" s="1" t="s">
        <v>12</v>
      </c>
      <c r="C9" s="1">
        <f>880+1183+1492+1852</f>
        <v>5407</v>
      </c>
      <c r="D9" s="1">
        <f>2428+1880</f>
        <v>4308</v>
      </c>
      <c r="E9" s="1">
        <f>1348+908</f>
        <v>2256</v>
      </c>
      <c r="F9" s="1">
        <f>533+389</f>
        <v>922</v>
      </c>
      <c r="G9" s="1">
        <f>300+285</f>
        <v>585</v>
      </c>
      <c r="H9" s="1">
        <f>221+110</f>
        <v>331</v>
      </c>
      <c r="I9" s="1">
        <f>65+28</f>
        <v>93</v>
      </c>
      <c r="J9" s="1">
        <v>15</v>
      </c>
      <c r="K9" s="1">
        <f t="shared" si="0"/>
        <v>13917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f t="shared" si="0"/>
        <v>0</v>
      </c>
      <c r="L10" s="1"/>
    </row>
    <row r="11" spans="1:12" x14ac:dyDescent="0.3">
      <c r="A11" s="1" t="s">
        <v>16</v>
      </c>
      <c r="B11" s="1" t="s">
        <v>11</v>
      </c>
      <c r="C11" s="1">
        <f>106+412+679+731</f>
        <v>1928</v>
      </c>
      <c r="D11" s="1">
        <f>752+967</f>
        <v>1719</v>
      </c>
      <c r="E11" s="1">
        <f>686+508</f>
        <v>1194</v>
      </c>
      <c r="F11" s="1">
        <f>262+151</f>
        <v>413</v>
      </c>
      <c r="G11" s="1">
        <f>101+104</f>
        <v>205</v>
      </c>
      <c r="H11" s="1">
        <f>81+63</f>
        <v>144</v>
      </c>
      <c r="I11" s="1">
        <f>34+13</f>
        <v>47</v>
      </c>
      <c r="J11" s="1">
        <v>19</v>
      </c>
      <c r="K11" s="1">
        <f t="shared" si="0"/>
        <v>5669</v>
      </c>
      <c r="L11" s="1">
        <f>SUM(K11:K13)</f>
        <v>12045</v>
      </c>
    </row>
    <row r="12" spans="1:12" x14ac:dyDescent="0.3">
      <c r="A12" s="1" t="s">
        <v>16</v>
      </c>
      <c r="B12" s="1" t="s">
        <v>12</v>
      </c>
      <c r="C12" s="1">
        <f>102+378+654+635</f>
        <v>1769</v>
      </c>
      <c r="D12" s="1">
        <f>634+871</f>
        <v>1505</v>
      </c>
      <c r="E12" s="1">
        <f>837+621</f>
        <v>1458</v>
      </c>
      <c r="F12" s="1">
        <f>424+288</f>
        <v>712</v>
      </c>
      <c r="G12" s="1">
        <f>246+221</f>
        <v>467</v>
      </c>
      <c r="H12" s="1">
        <f>202+133</f>
        <v>335</v>
      </c>
      <c r="I12" s="1">
        <f>65+37</f>
        <v>102</v>
      </c>
      <c r="J12" s="1">
        <v>28</v>
      </c>
      <c r="K12" s="1">
        <f t="shared" si="0"/>
        <v>6376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f t="shared" si="0"/>
        <v>0</v>
      </c>
      <c r="L13" s="1"/>
    </row>
    <row r="14" spans="1:12" x14ac:dyDescent="0.3">
      <c r="A14" s="1" t="s">
        <v>17</v>
      </c>
      <c r="B14" s="1" t="s">
        <v>11</v>
      </c>
      <c r="C14" s="1">
        <f>162+188+237+266</f>
        <v>853</v>
      </c>
      <c r="D14" s="1">
        <f>382+435</f>
        <v>817</v>
      </c>
      <c r="E14" s="1">
        <f>311+239</f>
        <v>550</v>
      </c>
      <c r="F14" s="1">
        <f>183+82</f>
        <v>265</v>
      </c>
      <c r="G14" s="1">
        <f>56+62</f>
        <v>118</v>
      </c>
      <c r="H14" s="1">
        <f>48+41</f>
        <v>89</v>
      </c>
      <c r="I14" s="1">
        <f>25+6</f>
        <v>31</v>
      </c>
      <c r="J14" s="1">
        <v>8</v>
      </c>
      <c r="K14" s="1">
        <f t="shared" si="0"/>
        <v>2731</v>
      </c>
      <c r="L14" s="1">
        <f>SUM(K14:K16)</f>
        <v>5723</v>
      </c>
    </row>
    <row r="15" spans="1:12" x14ac:dyDescent="0.3">
      <c r="A15" s="1" t="s">
        <v>17</v>
      </c>
      <c r="B15" s="1" t="s">
        <v>12</v>
      </c>
      <c r="C15" s="1">
        <f>166+174+244+240</f>
        <v>824</v>
      </c>
      <c r="D15" s="1">
        <f>351+361</f>
        <v>712</v>
      </c>
      <c r="E15" s="1">
        <f>344+287</f>
        <v>631</v>
      </c>
      <c r="F15" s="1">
        <f>199+151</f>
        <v>350</v>
      </c>
      <c r="G15" s="1">
        <f>132+112</f>
        <v>244</v>
      </c>
      <c r="H15" s="1">
        <f>96+73</f>
        <v>169</v>
      </c>
      <c r="I15" s="1">
        <f>29+20</f>
        <v>49</v>
      </c>
      <c r="J15" s="1">
        <v>13</v>
      </c>
      <c r="K15" s="1">
        <f t="shared" si="0"/>
        <v>2992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f t="shared" si="0"/>
        <v>0</v>
      </c>
      <c r="L16" s="1"/>
    </row>
    <row r="17" spans="1:12" x14ac:dyDescent="0.3">
      <c r="A17" s="1" t="s">
        <v>18</v>
      </c>
      <c r="B17" s="1" t="s">
        <v>11</v>
      </c>
      <c r="C17" s="1">
        <f>482+350+316+388</f>
        <v>1536</v>
      </c>
      <c r="D17" s="1">
        <f>616+759</f>
        <v>1375</v>
      </c>
      <c r="E17" s="1">
        <f>496+319</f>
        <v>815</v>
      </c>
      <c r="F17" s="1">
        <f>241+172</f>
        <v>413</v>
      </c>
      <c r="G17" s="1">
        <f>128+90</f>
        <v>218</v>
      </c>
      <c r="H17" s="1">
        <f>73+69</f>
        <v>142</v>
      </c>
      <c r="I17" s="1">
        <f>41+24</f>
        <v>65</v>
      </c>
      <c r="J17" s="1">
        <v>10</v>
      </c>
      <c r="K17" s="1">
        <f t="shared" si="0"/>
        <v>4574</v>
      </c>
      <c r="L17" s="1">
        <f>SUM(K17:K19)</f>
        <v>10322</v>
      </c>
    </row>
    <row r="18" spans="1:12" x14ac:dyDescent="0.3">
      <c r="A18" s="1" t="s">
        <v>18</v>
      </c>
      <c r="B18" s="1" t="s">
        <v>12</v>
      </c>
      <c r="C18" s="1">
        <f>462+333+339+407</f>
        <v>1541</v>
      </c>
      <c r="D18" s="1">
        <f>660+959</f>
        <v>1619</v>
      </c>
      <c r="E18" s="1">
        <f>724+474</f>
        <v>1198</v>
      </c>
      <c r="F18" s="1">
        <f>331+218</f>
        <v>549</v>
      </c>
      <c r="G18" s="1">
        <f>190+200</f>
        <v>390</v>
      </c>
      <c r="H18" s="1">
        <f>168+119</f>
        <v>287</v>
      </c>
      <c r="I18" s="1">
        <f>83+50</f>
        <v>133</v>
      </c>
      <c r="J18" s="1">
        <v>30</v>
      </c>
      <c r="K18" s="1">
        <f t="shared" si="0"/>
        <v>5747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1</v>
      </c>
      <c r="L19" s="1"/>
    </row>
    <row r="20" spans="1:12" x14ac:dyDescent="0.3">
      <c r="A20" s="1" t="s">
        <v>19</v>
      </c>
      <c r="B20" s="1" t="s">
        <v>11</v>
      </c>
      <c r="C20" s="1">
        <f>120+142+190+219</f>
        <v>671</v>
      </c>
      <c r="D20" s="1">
        <f>282+471</f>
        <v>753</v>
      </c>
      <c r="E20" s="1">
        <f>381+264</f>
        <v>645</v>
      </c>
      <c r="F20" s="1">
        <f>183+120</f>
        <v>303</v>
      </c>
      <c r="G20" s="1">
        <f>102+74</f>
        <v>176</v>
      </c>
      <c r="H20" s="1">
        <f>63+60</f>
        <v>123</v>
      </c>
      <c r="I20" s="1">
        <f>35+28</f>
        <v>63</v>
      </c>
      <c r="J20" s="1">
        <v>12</v>
      </c>
      <c r="K20" s="1">
        <f t="shared" si="0"/>
        <v>2746</v>
      </c>
      <c r="L20" s="1">
        <f>SUM(K20:K22)</f>
        <v>5936</v>
      </c>
    </row>
    <row r="21" spans="1:12" x14ac:dyDescent="0.3">
      <c r="A21" s="1" t="s">
        <v>19</v>
      </c>
      <c r="B21" s="1" t="s">
        <v>12</v>
      </c>
      <c r="C21" s="1">
        <f>140+139+170+213</f>
        <v>662</v>
      </c>
      <c r="D21" s="1">
        <f>332+510</f>
        <v>842</v>
      </c>
      <c r="E21" s="1">
        <f>457+305</f>
        <v>762</v>
      </c>
      <c r="F21" s="1">
        <f>201+142</f>
        <v>343</v>
      </c>
      <c r="G21" s="1">
        <f>121+121</f>
        <v>242</v>
      </c>
      <c r="H21" s="1">
        <f>134+96</f>
        <v>230</v>
      </c>
      <c r="I21" s="1">
        <f>56+34</f>
        <v>90</v>
      </c>
      <c r="J21" s="1">
        <v>18</v>
      </c>
      <c r="K21" s="1">
        <f t="shared" si="0"/>
        <v>3189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v>1</v>
      </c>
      <c r="L2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B4CB-0920-4B76-9295-07B26A2EB2D5}">
  <sheetPr>
    <outlinePr summaryBelow="0" summaryRight="0"/>
  </sheetPr>
  <dimension ref="A1:L22"/>
  <sheetViews>
    <sheetView workbookViewId="0">
      <selection activeCell="B27" sqref="B27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1592+3867+16671+19464</f>
        <v>41594</v>
      </c>
      <c r="D2" s="1">
        <f>22071+37600</f>
        <v>59671</v>
      </c>
      <c r="E2" s="1">
        <f>41005+28249</f>
        <v>69254</v>
      </c>
      <c r="F2" s="1">
        <f>16828+10383</f>
        <v>27211</v>
      </c>
      <c r="G2" s="1">
        <f>6777+4160</f>
        <v>10937</v>
      </c>
      <c r="H2" s="1">
        <f>2076+1481</f>
        <v>3557</v>
      </c>
      <c r="I2" s="1">
        <f>491+248</f>
        <v>739</v>
      </c>
      <c r="J2" s="1">
        <v>167</v>
      </c>
      <c r="K2" s="1">
        <f t="shared" ref="K2:K22" si="0">SUM(C2:J2)</f>
        <v>213130</v>
      </c>
      <c r="L2" s="1">
        <f>SUM(K2:K4)</f>
        <v>405172</v>
      </c>
    </row>
    <row r="3" spans="1:12" x14ac:dyDescent="0.3">
      <c r="A3" s="1" t="s">
        <v>10</v>
      </c>
      <c r="B3" s="1" t="s">
        <v>12</v>
      </c>
      <c r="C3" s="1">
        <f>1564+3619+16497+18844</f>
        <v>40524</v>
      </c>
      <c r="D3" s="1">
        <f>19280+31578</f>
        <v>50858</v>
      </c>
      <c r="E3" s="1">
        <f>36865+24650</f>
        <v>61515</v>
      </c>
      <c r="F3" s="1">
        <f>14933+9062</f>
        <v>23995</v>
      </c>
      <c r="G3" s="1">
        <f>5951+3808</f>
        <v>9759</v>
      </c>
      <c r="H3" s="1">
        <f>2130+1548</f>
        <v>3678</v>
      </c>
      <c r="I3" s="1">
        <f>782+488</f>
        <v>1270</v>
      </c>
      <c r="J3" s="1">
        <v>332</v>
      </c>
      <c r="K3" s="1">
        <f t="shared" si="0"/>
        <v>191931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>40+40+31</f>
        <v>111</v>
      </c>
      <c r="L4" s="1"/>
    </row>
    <row r="5" spans="1:12" x14ac:dyDescent="0.3">
      <c r="A5" s="1" t="s">
        <v>14</v>
      </c>
      <c r="B5" s="1" t="s">
        <v>11</v>
      </c>
      <c r="C5" s="1">
        <f>76+116+326+359</f>
        <v>877</v>
      </c>
      <c r="D5" s="1">
        <f>352+519</f>
        <v>871</v>
      </c>
      <c r="E5" s="1">
        <f>629+715</f>
        <v>1344</v>
      </c>
      <c r="F5" s="1">
        <f>638+524</f>
        <v>1162</v>
      </c>
      <c r="G5" s="1">
        <f>429+307</f>
        <v>736</v>
      </c>
      <c r="H5" s="1">
        <f>242+178</f>
        <v>420</v>
      </c>
      <c r="I5" s="1">
        <f>113+66</f>
        <v>179</v>
      </c>
      <c r="J5" s="1">
        <f>55</f>
        <v>55</v>
      </c>
      <c r="K5" s="1">
        <f t="shared" si="0"/>
        <v>5644</v>
      </c>
      <c r="L5" s="1">
        <f>SUM(K5:K7)</f>
        <v>10046</v>
      </c>
    </row>
    <row r="6" spans="1:12" x14ac:dyDescent="0.3">
      <c r="A6" s="1" t="s">
        <v>14</v>
      </c>
      <c r="B6" s="1" t="s">
        <v>12</v>
      </c>
      <c r="C6" s="1">
        <f>66+84+270+359</f>
        <v>779</v>
      </c>
      <c r="D6" s="1">
        <f>363+445</f>
        <v>808</v>
      </c>
      <c r="E6" s="1">
        <f>404+383</f>
        <v>787</v>
      </c>
      <c r="F6" s="1">
        <f>368+322</f>
        <v>690</v>
      </c>
      <c r="G6" s="1">
        <f>291+254</f>
        <v>545</v>
      </c>
      <c r="H6" s="1">
        <f>248+201</f>
        <v>449</v>
      </c>
      <c r="I6" s="1">
        <f>155+100</f>
        <v>255</v>
      </c>
      <c r="J6" s="1">
        <v>81</v>
      </c>
      <c r="K6" s="1">
        <f t="shared" si="0"/>
        <v>4394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8</v>
      </c>
      <c r="L7" s="1"/>
    </row>
    <row r="8" spans="1:12" x14ac:dyDescent="0.3">
      <c r="A8" s="1" t="s">
        <v>15</v>
      </c>
      <c r="B8" s="1" t="s">
        <v>11</v>
      </c>
      <c r="C8" s="1">
        <f>807+1266+1734+2231</f>
        <v>6038</v>
      </c>
      <c r="D8" s="1">
        <f>1403+1395</f>
        <v>2798</v>
      </c>
      <c r="E8" s="1">
        <f>1123+812</f>
        <v>1935</v>
      </c>
      <c r="F8" s="1">
        <f>566+367</f>
        <v>933</v>
      </c>
      <c r="G8" s="1">
        <f>354+274</f>
        <v>628</v>
      </c>
      <c r="H8" s="1">
        <f>225+143</f>
        <v>368</v>
      </c>
      <c r="I8" s="1">
        <f>74+39</f>
        <v>113</v>
      </c>
      <c r="J8" s="1">
        <v>14</v>
      </c>
      <c r="K8" s="1">
        <f t="shared" si="0"/>
        <v>12827</v>
      </c>
      <c r="L8" s="1">
        <f>SUM(K8:K10)</f>
        <v>26723</v>
      </c>
    </row>
    <row r="9" spans="1:12" x14ac:dyDescent="0.3">
      <c r="A9" s="1" t="s">
        <v>15</v>
      </c>
      <c r="B9" s="1" t="s">
        <v>12</v>
      </c>
      <c r="C9" s="1">
        <f>801+1263+1819+2135</f>
        <v>6018</v>
      </c>
      <c r="D9" s="1">
        <f>1583+1377</f>
        <v>2960</v>
      </c>
      <c r="E9" s="1">
        <f>1135+952</f>
        <v>2087</v>
      </c>
      <c r="F9" s="1">
        <f>631+567</f>
        <v>1198</v>
      </c>
      <c r="G9" s="1">
        <f>476+439</f>
        <v>915</v>
      </c>
      <c r="H9" s="1">
        <f>339+208</f>
        <v>547</v>
      </c>
      <c r="I9" s="1">
        <f>110+38</f>
        <v>148</v>
      </c>
      <c r="J9" s="1">
        <v>23</v>
      </c>
      <c r="K9" s="1">
        <f t="shared" si="0"/>
        <v>13896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f t="shared" si="0"/>
        <v>0</v>
      </c>
      <c r="L10" s="1"/>
    </row>
    <row r="11" spans="1:12" x14ac:dyDescent="0.3">
      <c r="A11" s="1" t="s">
        <v>16</v>
      </c>
      <c r="B11" s="1" t="s">
        <v>11</v>
      </c>
      <c r="C11" s="1">
        <f>147+793+2211+2048</f>
        <v>5199</v>
      </c>
      <c r="D11" s="1">
        <f>2375+5210</f>
        <v>7585</v>
      </c>
      <c r="E11" s="1">
        <f>5860+4237</f>
        <v>10097</v>
      </c>
      <c r="F11" s="1">
        <f>2569+1457</f>
        <v>4026</v>
      </c>
      <c r="G11" s="1">
        <f>803+441</f>
        <v>1244</v>
      </c>
      <c r="H11" s="1">
        <f>274+170</f>
        <v>444</v>
      </c>
      <c r="I11" s="1">
        <f>85+41</f>
        <v>126</v>
      </c>
      <c r="J11" s="1">
        <f>24</f>
        <v>24</v>
      </c>
      <c r="K11" s="1">
        <f t="shared" si="0"/>
        <v>28745</v>
      </c>
      <c r="L11" s="1">
        <f>SUM(K11:K13)</f>
        <v>57878</v>
      </c>
    </row>
    <row r="12" spans="1:12" x14ac:dyDescent="0.3">
      <c r="A12" s="1" t="s">
        <v>16</v>
      </c>
      <c r="B12" s="1" t="s">
        <v>12</v>
      </c>
      <c r="C12" s="1">
        <f>147+724+2051+1920</f>
        <v>4842</v>
      </c>
      <c r="D12" s="1">
        <f>2078+4269</f>
        <v>6347</v>
      </c>
      <c r="E12" s="1">
        <f>5601+4423</f>
        <v>10024</v>
      </c>
      <c r="F12" s="1">
        <f>2865+1719</f>
        <v>4584</v>
      </c>
      <c r="G12" s="1">
        <f>1194+779</f>
        <v>1973</v>
      </c>
      <c r="H12" s="1">
        <f>568+410</f>
        <v>978</v>
      </c>
      <c r="I12" s="1">
        <f>204+120</f>
        <v>324</v>
      </c>
      <c r="J12" s="1">
        <v>46</v>
      </c>
      <c r="K12" s="1">
        <f t="shared" si="0"/>
        <v>29118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15</v>
      </c>
      <c r="L13" s="1"/>
    </row>
    <row r="14" spans="1:12" x14ac:dyDescent="0.3">
      <c r="A14" s="1" t="s">
        <v>17</v>
      </c>
      <c r="B14" s="1" t="s">
        <v>11</v>
      </c>
      <c r="C14" s="1">
        <f>175+319+715+644</f>
        <v>1853</v>
      </c>
      <c r="D14" s="1">
        <f>768+1429</f>
        <v>2197</v>
      </c>
      <c r="E14" s="1">
        <f>1722+1489</f>
        <v>3211</v>
      </c>
      <c r="F14" s="1">
        <f>881+507</f>
        <v>1388</v>
      </c>
      <c r="G14" s="1">
        <f>286+148</f>
        <v>434</v>
      </c>
      <c r="H14" s="1">
        <f>128+74</f>
        <v>202</v>
      </c>
      <c r="I14" s="1">
        <f>29+9</f>
        <v>38</v>
      </c>
      <c r="J14" s="1">
        <v>2</v>
      </c>
      <c r="K14" s="1">
        <f t="shared" si="0"/>
        <v>9325</v>
      </c>
      <c r="L14" s="1">
        <f>SUM(K14:K16)</f>
        <v>19049</v>
      </c>
    </row>
    <row r="15" spans="1:12" x14ac:dyDescent="0.3">
      <c r="A15" s="1" t="s">
        <v>17</v>
      </c>
      <c r="B15" s="1" t="s">
        <v>12</v>
      </c>
      <c r="C15" s="1">
        <f>173+288+657+648</f>
        <v>1766</v>
      </c>
      <c r="D15" s="1">
        <f>656+1245</f>
        <v>1901</v>
      </c>
      <c r="E15" s="1">
        <f>1703+1560</f>
        <v>3263</v>
      </c>
      <c r="F15" s="1">
        <f>1001+607</f>
        <v>1608</v>
      </c>
      <c r="G15" s="1">
        <f>420+300</f>
        <v>720</v>
      </c>
      <c r="H15" s="1">
        <f>218+119</f>
        <v>337</v>
      </c>
      <c r="I15" s="1">
        <f>69+39</f>
        <v>108</v>
      </c>
      <c r="J15" s="1">
        <v>15</v>
      </c>
      <c r="K15" s="1">
        <f t="shared" si="0"/>
        <v>9718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v>6</v>
      </c>
      <c r="L16" s="1"/>
    </row>
    <row r="17" spans="1:12" x14ac:dyDescent="0.3">
      <c r="A17" s="1" t="s">
        <v>18</v>
      </c>
      <c r="B17" s="1" t="s">
        <v>11</v>
      </c>
      <c r="C17" s="1">
        <f>510+377+524+442</f>
        <v>1853</v>
      </c>
      <c r="D17" s="1">
        <f>675+1199</f>
        <v>1874</v>
      </c>
      <c r="E17" s="1">
        <f>1056+802</f>
        <v>1858</v>
      </c>
      <c r="F17" s="1">
        <f>460+330</f>
        <v>790</v>
      </c>
      <c r="G17" s="1">
        <f>211+163</f>
        <v>374</v>
      </c>
      <c r="H17" s="1">
        <f>121+89</f>
        <v>210</v>
      </c>
      <c r="I17" s="1">
        <f>60+35</f>
        <v>95</v>
      </c>
      <c r="J17" s="1">
        <v>6</v>
      </c>
      <c r="K17" s="1">
        <f t="shared" si="0"/>
        <v>7060</v>
      </c>
      <c r="L17" s="1">
        <f>SUM(K17:K19)</f>
        <v>15214</v>
      </c>
    </row>
    <row r="18" spans="1:12" x14ac:dyDescent="0.3">
      <c r="A18" s="1" t="s">
        <v>18</v>
      </c>
      <c r="B18" s="1" t="s">
        <v>12</v>
      </c>
      <c r="C18" s="1">
        <f>492+391+540+458</f>
        <v>1881</v>
      </c>
      <c r="D18" s="1">
        <f>756+1236</f>
        <v>1992</v>
      </c>
      <c r="E18" s="1">
        <f>1203+869</f>
        <v>2072</v>
      </c>
      <c r="F18" s="1">
        <f>644+421</f>
        <v>1065</v>
      </c>
      <c r="G18" s="1">
        <f>315+265</f>
        <v>580</v>
      </c>
      <c r="H18" s="1">
        <f>231+141</f>
        <v>372</v>
      </c>
      <c r="I18" s="1">
        <f>111+58</f>
        <v>169</v>
      </c>
      <c r="J18" s="1">
        <v>19</v>
      </c>
      <c r="K18" s="1">
        <f t="shared" si="0"/>
        <v>8150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4</v>
      </c>
      <c r="L19" s="1"/>
    </row>
    <row r="20" spans="1:12" x14ac:dyDescent="0.3">
      <c r="A20" s="1" t="s">
        <v>19</v>
      </c>
      <c r="B20" s="1" t="s">
        <v>11</v>
      </c>
      <c r="C20" s="1">
        <f>231+236+401+426</f>
        <v>1294</v>
      </c>
      <c r="D20" s="1">
        <f>418+635</f>
        <v>1053</v>
      </c>
      <c r="E20" s="1">
        <f>679+565</f>
        <v>1244</v>
      </c>
      <c r="F20" s="1">
        <f>386+266</f>
        <v>652</v>
      </c>
      <c r="G20" s="1">
        <f>172+139</f>
        <v>311</v>
      </c>
      <c r="H20" s="1">
        <f>118+119</f>
        <v>237</v>
      </c>
      <c r="I20" s="1">
        <f>63+47</f>
        <v>110</v>
      </c>
      <c r="J20" s="1">
        <f>35</f>
        <v>35</v>
      </c>
      <c r="K20" s="1">
        <f t="shared" si="0"/>
        <v>4936</v>
      </c>
      <c r="L20" s="1">
        <f>SUM(K20:K22)</f>
        <v>10175</v>
      </c>
    </row>
    <row r="21" spans="1:12" x14ac:dyDescent="0.3">
      <c r="A21" s="1" t="s">
        <v>19</v>
      </c>
      <c r="B21" s="1" t="s">
        <v>12</v>
      </c>
      <c r="C21" s="1">
        <f>232+204+367+424</f>
        <v>1227</v>
      </c>
      <c r="D21" s="1">
        <f>503+685</f>
        <v>1188</v>
      </c>
      <c r="E21" s="1">
        <f>645+541</f>
        <v>1186</v>
      </c>
      <c r="F21" s="1">
        <f>377+245</f>
        <v>622</v>
      </c>
      <c r="G21" s="1">
        <f>239+235</f>
        <v>474</v>
      </c>
      <c r="H21" s="1">
        <f>204+159</f>
        <v>363</v>
      </c>
      <c r="I21" s="1">
        <f>100+47</f>
        <v>147</v>
      </c>
      <c r="J21" s="1">
        <f>32</f>
        <v>32</v>
      </c>
      <c r="K21" s="1">
        <f t="shared" si="0"/>
        <v>5239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f t="shared" si="0"/>
        <v>0</v>
      </c>
      <c r="L2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78D7-C96F-47B3-AA00-1B02DB56069B}">
  <sheetPr>
    <outlinePr summaryBelow="0" summaryRight="0"/>
  </sheetPr>
  <dimension ref="A1:L22"/>
  <sheetViews>
    <sheetView workbookViewId="0">
      <selection activeCell="C26" sqref="C26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1698+4594+18729+28032</f>
        <v>53053</v>
      </c>
      <c r="D2" s="1">
        <f>55823+89943</f>
        <v>145766</v>
      </c>
      <c r="E2" s="1">
        <f>74871+46770</f>
        <v>121641</v>
      </c>
      <c r="F2" s="1">
        <f>27915+18189</f>
        <v>46104</v>
      </c>
      <c r="G2" s="1">
        <f>11668+7263</f>
        <v>18931</v>
      </c>
      <c r="H2" s="1">
        <f>3762+2010</f>
        <v>5772</v>
      </c>
      <c r="I2" s="1">
        <f>757+396</f>
        <v>1153</v>
      </c>
      <c r="J2" s="1">
        <f>279</f>
        <v>279</v>
      </c>
      <c r="K2" s="1">
        <f t="shared" ref="K2:K21" si="0">SUM(C2:J2)</f>
        <v>392699</v>
      </c>
      <c r="L2" s="1">
        <f>SUM(K2:K4)</f>
        <v>679068</v>
      </c>
    </row>
    <row r="3" spans="1:12" x14ac:dyDescent="0.3">
      <c r="A3" s="1" t="s">
        <v>10</v>
      </c>
      <c r="B3" s="1" t="s">
        <v>12</v>
      </c>
      <c r="C3" s="1">
        <f>1564+4412+18096+27902</f>
        <v>51974</v>
      </c>
      <c r="D3" s="1">
        <f>39516+55119</f>
        <v>94635</v>
      </c>
      <c r="E3" s="1">
        <f>51435+33374</f>
        <v>84809</v>
      </c>
      <c r="F3" s="1">
        <f>20127+12279</f>
        <v>32406</v>
      </c>
      <c r="G3" s="1">
        <f>8059+5650</f>
        <v>13709</v>
      </c>
      <c r="H3" s="1">
        <f>3585+2440</f>
        <v>6025</v>
      </c>
      <c r="I3" s="1">
        <f>1179+834</f>
        <v>2013</v>
      </c>
      <c r="J3" s="1">
        <v>660</v>
      </c>
      <c r="K3" s="1">
        <f t="shared" si="0"/>
        <v>286231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>56+33+49</f>
        <v>138</v>
      </c>
      <c r="L4" s="1"/>
    </row>
    <row r="5" spans="1:12" x14ac:dyDescent="0.3">
      <c r="A5" s="1" t="s">
        <v>14</v>
      </c>
      <c r="B5" s="1" t="s">
        <v>11</v>
      </c>
      <c r="C5" s="1">
        <f>60+114+326+449</f>
        <v>949</v>
      </c>
      <c r="D5" s="1">
        <f>368+573</f>
        <v>941</v>
      </c>
      <c r="E5" s="1">
        <f>565+635</f>
        <v>1200</v>
      </c>
      <c r="F5" s="1">
        <f>628+595</f>
        <v>1223</v>
      </c>
      <c r="G5" s="1">
        <f>411+365</f>
        <v>776</v>
      </c>
      <c r="H5" s="1">
        <f>281+211</f>
        <v>492</v>
      </c>
      <c r="I5" s="1">
        <f>142+90</f>
        <v>232</v>
      </c>
      <c r="J5" s="1">
        <v>61</v>
      </c>
      <c r="K5" s="1">
        <f t="shared" si="0"/>
        <v>5874</v>
      </c>
      <c r="L5" s="1">
        <f>SUM(K5:K7)</f>
        <v>10645</v>
      </c>
    </row>
    <row r="6" spans="1:12" x14ac:dyDescent="0.3">
      <c r="A6" s="1" t="s">
        <v>14</v>
      </c>
      <c r="B6" s="1" t="s">
        <v>12</v>
      </c>
      <c r="C6" s="1">
        <f>78+108+281+417</f>
        <v>884</v>
      </c>
      <c r="D6" s="1">
        <f>324+425</f>
        <v>749</v>
      </c>
      <c r="E6" s="1">
        <f>375+421</f>
        <v>796</v>
      </c>
      <c r="F6" s="1">
        <f>418+379</f>
        <v>797</v>
      </c>
      <c r="G6" s="1">
        <f>339+306</f>
        <v>645</v>
      </c>
      <c r="H6" s="1">
        <f>261+227</f>
        <v>488</v>
      </c>
      <c r="I6" s="1">
        <f>183+120</f>
        <v>303</v>
      </c>
      <c r="J6" s="1">
        <v>103</v>
      </c>
      <c r="K6" s="1">
        <f t="shared" si="0"/>
        <v>4765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6</v>
      </c>
      <c r="L7" s="1"/>
    </row>
    <row r="8" spans="1:12" x14ac:dyDescent="0.3">
      <c r="A8" s="1" t="s">
        <v>15</v>
      </c>
      <c r="B8" s="1" t="s">
        <v>11</v>
      </c>
      <c r="C8" s="1">
        <f>1185+1685+2123+2256</f>
        <v>7249</v>
      </c>
      <c r="D8" s="1">
        <f>2241+3480</f>
        <v>5721</v>
      </c>
      <c r="E8" s="1">
        <f>2821+2010</f>
        <v>4831</v>
      </c>
      <c r="F8" s="1">
        <f>1286+641</f>
        <v>1927</v>
      </c>
      <c r="G8" s="1">
        <f>531+352</f>
        <v>883</v>
      </c>
      <c r="H8" s="1">
        <f>302+205</f>
        <v>507</v>
      </c>
      <c r="I8" s="1">
        <f>80+63</f>
        <v>143</v>
      </c>
      <c r="J8" s="1">
        <v>27</v>
      </c>
      <c r="K8" s="1">
        <f t="shared" si="0"/>
        <v>21288</v>
      </c>
      <c r="L8" s="1">
        <f>SUM(K8:K10)</f>
        <v>42195</v>
      </c>
    </row>
    <row r="9" spans="1:12" x14ac:dyDescent="0.3">
      <c r="A9" s="1" t="s">
        <v>15</v>
      </c>
      <c r="B9" s="1" t="s">
        <v>12</v>
      </c>
      <c r="C9" s="1">
        <f>1105+1713+2225+2422</f>
        <v>7465</v>
      </c>
      <c r="D9" s="1">
        <f>2540+3036</f>
        <v>5576</v>
      </c>
      <c r="E9" s="1">
        <f>2339+1690</f>
        <v>4029</v>
      </c>
      <c r="F9" s="1">
        <f>1096+706</f>
        <v>1802</v>
      </c>
      <c r="G9" s="1">
        <f>586+519</f>
        <v>1105</v>
      </c>
      <c r="H9" s="1">
        <f>410+255</f>
        <v>665</v>
      </c>
      <c r="I9" s="1">
        <f>140+91</f>
        <v>231</v>
      </c>
      <c r="J9" s="1">
        <v>29</v>
      </c>
      <c r="K9" s="1">
        <f t="shared" si="0"/>
        <v>20902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v>5</v>
      </c>
      <c r="L10" s="1"/>
    </row>
    <row r="11" spans="1:12" x14ac:dyDescent="0.3">
      <c r="A11" s="1" t="s">
        <v>16</v>
      </c>
      <c r="B11" s="1" t="s">
        <v>11</v>
      </c>
      <c r="C11" s="1">
        <f>136+649+2140+2439</f>
        <v>5364</v>
      </c>
      <c r="D11" s="1">
        <f>4639+9363</f>
        <v>14002</v>
      </c>
      <c r="E11" s="1">
        <f>8766+5762</f>
        <v>14528</v>
      </c>
      <c r="F11" s="1">
        <f>3218+1637</f>
        <v>4855</v>
      </c>
      <c r="G11" s="1">
        <f>912+466</f>
        <v>1378</v>
      </c>
      <c r="H11" s="1">
        <f>283+159</f>
        <v>442</v>
      </c>
      <c r="I11" s="1">
        <f>86+49</f>
        <v>135</v>
      </c>
      <c r="J11" s="1">
        <v>41</v>
      </c>
      <c r="K11" s="1">
        <f t="shared" si="0"/>
        <v>40745</v>
      </c>
      <c r="L11" s="1">
        <f>SUM(K11:K13)</f>
        <v>80173</v>
      </c>
    </row>
    <row r="12" spans="1:12" x14ac:dyDescent="0.3">
      <c r="A12" s="1" t="s">
        <v>16</v>
      </c>
      <c r="B12" s="1" t="s">
        <v>12</v>
      </c>
      <c r="C12" s="1">
        <f>128+629+2208+2393</f>
        <v>5358</v>
      </c>
      <c r="D12" s="1">
        <f>3706+7329</f>
        <v>11035</v>
      </c>
      <c r="E12" s="1">
        <f>8056+5724</f>
        <v>13780</v>
      </c>
      <c r="F12" s="1">
        <f>3483+1874</f>
        <v>5357</v>
      </c>
      <c r="G12" s="1">
        <f>1256+930</f>
        <v>2186</v>
      </c>
      <c r="H12" s="1">
        <f>746+461</f>
        <v>1207</v>
      </c>
      <c r="I12" s="1">
        <f>241+152</f>
        <v>393</v>
      </c>
      <c r="J12" s="1">
        <f>92</f>
        <v>92</v>
      </c>
      <c r="K12" s="1">
        <f t="shared" si="0"/>
        <v>39408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20</v>
      </c>
      <c r="L13" s="1"/>
    </row>
    <row r="14" spans="1:12" x14ac:dyDescent="0.3">
      <c r="A14" s="1" t="s">
        <v>17</v>
      </c>
      <c r="B14" s="1" t="s">
        <v>11</v>
      </c>
      <c r="C14" s="1">
        <f>187+350+811+890</f>
        <v>2238</v>
      </c>
      <c r="D14" s="1">
        <f>1593+3593</f>
        <v>5186</v>
      </c>
      <c r="E14" s="1">
        <f>3410+2596</f>
        <v>6006</v>
      </c>
      <c r="F14" s="1">
        <f>1431+818</f>
        <v>2249</v>
      </c>
      <c r="G14" s="1">
        <f>425+223</f>
        <v>648</v>
      </c>
      <c r="H14" s="1">
        <f>124+79</f>
        <v>203</v>
      </c>
      <c r="I14" s="1">
        <f>28+15</f>
        <v>43</v>
      </c>
      <c r="J14" s="1">
        <v>5</v>
      </c>
      <c r="K14" s="1">
        <f t="shared" si="0"/>
        <v>16578</v>
      </c>
      <c r="L14" s="1">
        <f>SUM(K14:K16)</f>
        <v>32303</v>
      </c>
    </row>
    <row r="15" spans="1:12" x14ac:dyDescent="0.3">
      <c r="A15" s="1" t="s">
        <v>17</v>
      </c>
      <c r="B15" s="1" t="s">
        <v>12</v>
      </c>
      <c r="C15" s="1">
        <f>191+327+832+882</f>
        <v>2232</v>
      </c>
      <c r="D15" s="1">
        <f>1383+2647</f>
        <v>4030</v>
      </c>
      <c r="E15" s="1">
        <f>3044+2433</f>
        <v>5477</v>
      </c>
      <c r="F15" s="1">
        <f>1578+828</f>
        <v>2406</v>
      </c>
      <c r="G15" s="1">
        <f>605+364</f>
        <v>969</v>
      </c>
      <c r="H15" s="1">
        <f>282+175</f>
        <v>457</v>
      </c>
      <c r="I15" s="1">
        <f>84+35</f>
        <v>119</v>
      </c>
      <c r="J15" s="1">
        <v>34</v>
      </c>
      <c r="K15" s="1">
        <f t="shared" si="0"/>
        <v>15724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v>1</v>
      </c>
      <c r="L16" s="1"/>
    </row>
    <row r="17" spans="1:12" x14ac:dyDescent="0.3">
      <c r="A17" s="1" t="s">
        <v>18</v>
      </c>
      <c r="B17" s="1" t="s">
        <v>11</v>
      </c>
      <c r="C17" s="1">
        <f>430+341+639+597</f>
        <v>2007</v>
      </c>
      <c r="D17" s="1">
        <f>957+2292</f>
        <v>3249</v>
      </c>
      <c r="E17" s="1">
        <f>2255+1571</f>
        <v>3826</v>
      </c>
      <c r="F17" s="1">
        <f>1069+618</f>
        <v>1687</v>
      </c>
      <c r="G17" s="1">
        <f>440+251</f>
        <v>691</v>
      </c>
      <c r="H17" s="1">
        <f>165+82</f>
        <v>247</v>
      </c>
      <c r="I17" s="1">
        <f>50+35</f>
        <v>85</v>
      </c>
      <c r="J17" s="1">
        <v>23</v>
      </c>
      <c r="K17" s="1">
        <f t="shared" si="0"/>
        <v>11815</v>
      </c>
      <c r="L17" s="1">
        <f>SUM(K17:K19)</f>
        <v>24189</v>
      </c>
    </row>
    <row r="18" spans="1:12" x14ac:dyDescent="0.3">
      <c r="A18" s="1" t="s">
        <v>18</v>
      </c>
      <c r="B18" s="1" t="s">
        <v>12</v>
      </c>
      <c r="C18" s="1">
        <f>428+365+621+569</f>
        <v>1983</v>
      </c>
      <c r="D18" s="1">
        <f>948+2099</f>
        <v>3047</v>
      </c>
      <c r="E18" s="1">
        <f>2221+1626</f>
        <v>3847</v>
      </c>
      <c r="F18" s="1">
        <f>1083+768</f>
        <v>1851</v>
      </c>
      <c r="G18" s="1">
        <f>530+401</f>
        <v>931</v>
      </c>
      <c r="H18" s="1">
        <f>304+192</f>
        <v>496</v>
      </c>
      <c r="I18" s="1">
        <f>104+70</f>
        <v>174</v>
      </c>
      <c r="J18" s="1">
        <v>45</v>
      </c>
      <c r="K18" s="1">
        <f t="shared" si="0"/>
        <v>12374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f t="shared" si="0"/>
        <v>0</v>
      </c>
      <c r="L19" s="1"/>
    </row>
    <row r="20" spans="1:12" x14ac:dyDescent="0.3">
      <c r="A20" s="1" t="s">
        <v>19</v>
      </c>
      <c r="B20" s="1" t="s">
        <v>11</v>
      </c>
      <c r="C20" s="1">
        <f>343+274+456+544</f>
        <v>1617</v>
      </c>
      <c r="D20" s="1">
        <f>599+1093</f>
        <v>1692</v>
      </c>
      <c r="E20" s="1">
        <f>1323+1144</f>
        <v>2467</v>
      </c>
      <c r="F20" s="1">
        <f>771+458</f>
        <v>1229</v>
      </c>
      <c r="G20" s="1">
        <f>268+203</f>
        <v>471</v>
      </c>
      <c r="H20" s="1">
        <f>182+131</f>
        <v>313</v>
      </c>
      <c r="I20" s="1">
        <f>99+56</f>
        <v>155</v>
      </c>
      <c r="J20" s="1">
        <v>42</v>
      </c>
      <c r="K20" s="1">
        <f t="shared" si="0"/>
        <v>7986</v>
      </c>
      <c r="L20" s="1">
        <f>SUM(K20:K22)</f>
        <v>15726</v>
      </c>
    </row>
    <row r="21" spans="1:12" x14ac:dyDescent="0.3">
      <c r="A21" s="1" t="s">
        <v>19</v>
      </c>
      <c r="B21" s="1" t="s">
        <v>12</v>
      </c>
      <c r="C21" s="1">
        <f>345+269+413+528</f>
        <v>1555</v>
      </c>
      <c r="D21" s="1">
        <f>655+1047</f>
        <v>1702</v>
      </c>
      <c r="E21" s="1">
        <f>1153+993</f>
        <v>2146</v>
      </c>
      <c r="F21" s="1">
        <f>591+405</f>
        <v>996</v>
      </c>
      <c r="G21" s="1">
        <f>300+294</f>
        <v>594</v>
      </c>
      <c r="H21" s="1">
        <f>258+221</f>
        <v>479</v>
      </c>
      <c r="I21" s="1">
        <f>124+85</f>
        <v>209</v>
      </c>
      <c r="J21" s="1">
        <v>56</v>
      </c>
      <c r="K21" s="1">
        <f t="shared" si="0"/>
        <v>7737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v>3</v>
      </c>
      <c r="L2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2C74-23F0-4307-A6DD-360E5F46EDC2}">
  <sheetPr>
    <outlinePr summaryBelow="0" summaryRight="0"/>
  </sheetPr>
  <dimension ref="A1:L22"/>
  <sheetViews>
    <sheetView workbookViewId="0">
      <selection activeCell="A23" sqref="A23:XFD28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1531+2402+5529+30620</f>
        <v>40082</v>
      </c>
      <c r="D2" s="1">
        <f>214229+188160</f>
        <v>402389</v>
      </c>
      <c r="E2" s="1">
        <f>113643+70322</f>
        <v>183965</v>
      </c>
      <c r="F2" s="1">
        <f>46084+31788</f>
        <v>77872</v>
      </c>
      <c r="G2" s="1">
        <f>21055+12497</f>
        <v>33552</v>
      </c>
      <c r="H2" s="1">
        <f>5935+2503</f>
        <v>8438</v>
      </c>
      <c r="I2" s="1">
        <f>684+296</f>
        <v>980</v>
      </c>
      <c r="J2" s="1">
        <f>184</f>
        <v>184</v>
      </c>
      <c r="K2" s="1">
        <f t="shared" ref="K2:K21" si="0">SUM(C2:J2)</f>
        <v>747462</v>
      </c>
      <c r="L2" s="1">
        <f>SUM(K2:K4)</f>
        <v>946167</v>
      </c>
    </row>
    <row r="3" spans="1:12" x14ac:dyDescent="0.3">
      <c r="A3" s="1" t="s">
        <v>10</v>
      </c>
      <c r="B3" s="1" t="s">
        <v>12</v>
      </c>
      <c r="C3" s="1">
        <f>1578+2371+5280+12341</f>
        <v>21570</v>
      </c>
      <c r="D3" s="1">
        <f>44747+48852</f>
        <v>93599</v>
      </c>
      <c r="E3" s="1">
        <f>33011+19492</f>
        <v>52503</v>
      </c>
      <c r="F3" s="1">
        <f>11748+7443</f>
        <v>19191</v>
      </c>
      <c r="G3" s="1">
        <f>4867+2989</f>
        <v>7856</v>
      </c>
      <c r="H3" s="1">
        <f>1745+1009</f>
        <v>2754</v>
      </c>
      <c r="I3" s="1">
        <f>470+245</f>
        <v>715</v>
      </c>
      <c r="J3" s="1">
        <f>228</f>
        <v>228</v>
      </c>
      <c r="K3" s="1">
        <f t="shared" si="0"/>
        <v>198416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>199+45+45</f>
        <v>289</v>
      </c>
      <c r="L4" s="1"/>
    </row>
    <row r="5" spans="1:12" x14ac:dyDescent="0.3">
      <c r="A5" s="1" t="s">
        <v>14</v>
      </c>
      <c r="B5" s="1" t="s">
        <v>11</v>
      </c>
      <c r="C5" s="1">
        <f>100+117+261+373</f>
        <v>851</v>
      </c>
      <c r="D5" s="1">
        <f>333+513</f>
        <v>846</v>
      </c>
      <c r="E5" s="1">
        <f>426+491</f>
        <v>917</v>
      </c>
      <c r="F5" s="1">
        <f>505+458</f>
        <v>963</v>
      </c>
      <c r="G5" s="1">
        <f>370+248</f>
        <v>618</v>
      </c>
      <c r="H5" s="1">
        <f>250+294</f>
        <v>544</v>
      </c>
      <c r="I5" s="1">
        <f>209+119</f>
        <v>328</v>
      </c>
      <c r="J5" s="1">
        <f>84</f>
        <v>84</v>
      </c>
      <c r="K5" s="1">
        <f t="shared" si="0"/>
        <v>5151</v>
      </c>
      <c r="L5" s="1">
        <f>SUM(K5:K7)</f>
        <v>10349</v>
      </c>
    </row>
    <row r="6" spans="1:12" x14ac:dyDescent="0.3">
      <c r="A6" s="1" t="s">
        <v>14</v>
      </c>
      <c r="B6" s="1" t="s">
        <v>12</v>
      </c>
      <c r="C6" s="1">
        <f>75+130+230+437</f>
        <v>872</v>
      </c>
      <c r="D6" s="1">
        <f>359+450</f>
        <v>809</v>
      </c>
      <c r="E6" s="1">
        <f>338+354</f>
        <v>692</v>
      </c>
      <c r="F6" s="1">
        <f>400+336</f>
        <v>736</v>
      </c>
      <c r="G6" s="1">
        <f>301+247</f>
        <v>548</v>
      </c>
      <c r="H6" s="1">
        <f>415+413</f>
        <v>828</v>
      </c>
      <c r="I6" s="1">
        <f>316+216</f>
        <v>532</v>
      </c>
      <c r="J6" s="1">
        <f>180</f>
        <v>180</v>
      </c>
      <c r="K6" s="1">
        <f t="shared" si="0"/>
        <v>5197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1</v>
      </c>
      <c r="L7" s="1"/>
    </row>
    <row r="8" spans="1:12" x14ac:dyDescent="0.3">
      <c r="A8" s="1" t="s">
        <v>15</v>
      </c>
      <c r="B8" s="1" t="s">
        <v>11</v>
      </c>
      <c r="C8" s="1">
        <f>913+1710+2033+2355</f>
        <v>7011</v>
      </c>
      <c r="D8" s="1">
        <f>2554+3662</f>
        <v>6216</v>
      </c>
      <c r="E8" s="1">
        <f>3128+2124</f>
        <v>5252</v>
      </c>
      <c r="F8" s="1">
        <f>1291+691</f>
        <v>1982</v>
      </c>
      <c r="G8" s="1">
        <f>520+419</f>
        <v>939</v>
      </c>
      <c r="H8" s="1">
        <f>337+203</f>
        <v>540</v>
      </c>
      <c r="I8" s="1">
        <f>133+74</f>
        <v>207</v>
      </c>
      <c r="J8" s="1">
        <v>35</v>
      </c>
      <c r="K8" s="1">
        <f t="shared" si="0"/>
        <v>22182</v>
      </c>
      <c r="L8" s="1">
        <f>SUM(K8:K10)</f>
        <v>41405</v>
      </c>
    </row>
    <row r="9" spans="1:12" x14ac:dyDescent="0.3">
      <c r="A9" s="1" t="s">
        <v>15</v>
      </c>
      <c r="B9" s="1" t="s">
        <v>12</v>
      </c>
      <c r="C9" s="1">
        <f>904+1655+2102+2345</f>
        <v>7006</v>
      </c>
      <c r="D9" s="1">
        <f>2062+2483</f>
        <v>4545</v>
      </c>
      <c r="E9" s="1">
        <f>2088+1560</f>
        <v>3648</v>
      </c>
      <c r="F9" s="1">
        <f>1122+718</f>
        <v>1840</v>
      </c>
      <c r="G9" s="1">
        <f>648+561</f>
        <v>1209</v>
      </c>
      <c r="H9" s="1">
        <f>464+255</f>
        <v>719</v>
      </c>
      <c r="I9" s="1">
        <f>134+76</f>
        <v>210</v>
      </c>
      <c r="J9" s="1">
        <v>42</v>
      </c>
      <c r="K9" s="1">
        <f t="shared" si="0"/>
        <v>19219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v>4</v>
      </c>
      <c r="L10" s="1"/>
    </row>
    <row r="11" spans="1:12" x14ac:dyDescent="0.3">
      <c r="A11" s="1" t="s">
        <v>16</v>
      </c>
      <c r="B11" s="1" t="s">
        <v>11</v>
      </c>
      <c r="C11" s="1">
        <f>188+551+1270+1625</f>
        <v>3634</v>
      </c>
      <c r="D11" s="1">
        <f>5767+7582</f>
        <v>13349</v>
      </c>
      <c r="E11" s="1">
        <f>5084+3100</f>
        <v>8184</v>
      </c>
      <c r="F11" s="1">
        <f>1673+838</f>
        <v>2511</v>
      </c>
      <c r="G11" s="1">
        <f>482+264</f>
        <v>746</v>
      </c>
      <c r="H11" s="1">
        <f>178+123</f>
        <v>301</v>
      </c>
      <c r="I11" s="1">
        <f>80+40</f>
        <v>120</v>
      </c>
      <c r="J11" s="1">
        <v>33</v>
      </c>
      <c r="K11" s="1">
        <f t="shared" si="0"/>
        <v>28878</v>
      </c>
      <c r="L11" s="1">
        <f>SUM(K11:K13)</f>
        <v>47351</v>
      </c>
    </row>
    <row r="12" spans="1:12" x14ac:dyDescent="0.3">
      <c r="A12" s="1" t="s">
        <v>16</v>
      </c>
      <c r="B12" s="1" t="s">
        <v>12</v>
      </c>
      <c r="C12" s="1">
        <f>172+490+1219+1292</f>
        <v>3173</v>
      </c>
      <c r="D12" s="1">
        <f>2430+4038</f>
        <v>6468</v>
      </c>
      <c r="E12" s="1">
        <f>3344+2195</f>
        <v>5539</v>
      </c>
      <c r="F12" s="1">
        <f>1202+636</f>
        <v>1838</v>
      </c>
      <c r="G12" s="1">
        <f>473+270</f>
        <v>743</v>
      </c>
      <c r="H12" s="1">
        <f>280+198</f>
        <v>478</v>
      </c>
      <c r="I12" s="1">
        <f>133+55</f>
        <v>188</v>
      </c>
      <c r="J12" s="1">
        <v>33</v>
      </c>
      <c r="K12" s="1">
        <f t="shared" si="0"/>
        <v>18460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13</v>
      </c>
      <c r="L13" s="1"/>
    </row>
    <row r="14" spans="1:12" x14ac:dyDescent="0.3">
      <c r="A14" s="1" t="s">
        <v>17</v>
      </c>
      <c r="B14" s="1" t="s">
        <v>11</v>
      </c>
      <c r="C14" s="1">
        <f>231+264+492+772</f>
        <v>1759</v>
      </c>
      <c r="D14" s="1">
        <f>3287+4617</f>
        <v>7904</v>
      </c>
      <c r="E14" s="1">
        <f>3118+1859</f>
        <v>4977</v>
      </c>
      <c r="F14" s="1">
        <f>1108+562</f>
        <v>1670</v>
      </c>
      <c r="G14" s="1">
        <f>267+141</f>
        <v>408</v>
      </c>
      <c r="H14" s="1">
        <f>83+38</f>
        <v>121</v>
      </c>
      <c r="I14" s="1">
        <f>22+8</f>
        <v>30</v>
      </c>
      <c r="J14" s="1">
        <v>4</v>
      </c>
      <c r="K14" s="1">
        <f t="shared" si="0"/>
        <v>16873</v>
      </c>
      <c r="L14" s="1">
        <f>SUM(K14:K16)</f>
        <v>25527</v>
      </c>
    </row>
    <row r="15" spans="1:12" x14ac:dyDescent="0.3">
      <c r="A15" s="1" t="s">
        <v>17</v>
      </c>
      <c r="B15" s="1" t="s">
        <v>12</v>
      </c>
      <c r="C15" s="1">
        <f>220+265+474+501</f>
        <v>1460</v>
      </c>
      <c r="D15" s="1">
        <f>1148+1835</f>
        <v>2983</v>
      </c>
      <c r="E15" s="1">
        <f>1532+1097</f>
        <v>2629</v>
      </c>
      <c r="F15" s="1">
        <f>656+338</f>
        <v>994</v>
      </c>
      <c r="G15" s="1">
        <f>245+112</f>
        <v>357</v>
      </c>
      <c r="H15" s="1">
        <f>120+53</f>
        <v>173</v>
      </c>
      <c r="I15" s="1">
        <f>30+15</f>
        <v>45</v>
      </c>
      <c r="J15" s="1">
        <v>4</v>
      </c>
      <c r="K15" s="1">
        <f t="shared" si="0"/>
        <v>8645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v>9</v>
      </c>
      <c r="L16" s="1"/>
    </row>
    <row r="17" spans="1:12" x14ac:dyDescent="0.3">
      <c r="A17" s="1" t="s">
        <v>18</v>
      </c>
      <c r="B17" s="1" t="s">
        <v>11</v>
      </c>
      <c r="C17" s="1">
        <f>372+299+420+371</f>
        <v>1462</v>
      </c>
      <c r="D17" s="1">
        <f>1009+2563</f>
        <v>3572</v>
      </c>
      <c r="E17" s="1">
        <f>2118+1254</f>
        <v>3372</v>
      </c>
      <c r="F17" s="1">
        <f>704+374</f>
        <v>1078</v>
      </c>
      <c r="G17" s="1">
        <f>252+178</f>
        <v>430</v>
      </c>
      <c r="H17" s="1">
        <f>120+79</f>
        <v>199</v>
      </c>
      <c r="I17" s="1">
        <f>38+25</f>
        <v>63</v>
      </c>
      <c r="J17" s="1">
        <v>19</v>
      </c>
      <c r="K17" s="1">
        <f t="shared" si="0"/>
        <v>10195</v>
      </c>
      <c r="L17" s="1">
        <f>SUM(K17:K19)</f>
        <v>19702</v>
      </c>
    </row>
    <row r="18" spans="1:12" x14ac:dyDescent="0.3">
      <c r="A18" s="1" t="s">
        <v>18</v>
      </c>
      <c r="B18" s="1" t="s">
        <v>12</v>
      </c>
      <c r="C18" s="1">
        <f>367+281+402+409</f>
        <v>1459</v>
      </c>
      <c r="D18" s="1">
        <f>942+1903</f>
        <v>2845</v>
      </c>
      <c r="E18" s="1">
        <f>1730+1165</f>
        <v>2895</v>
      </c>
      <c r="F18" s="1">
        <f>684+454</f>
        <v>1138</v>
      </c>
      <c r="G18" s="1">
        <f>368+274</f>
        <v>642</v>
      </c>
      <c r="H18" s="1">
        <f>244+138</f>
        <v>382</v>
      </c>
      <c r="I18" s="1">
        <f>92+27</f>
        <v>119</v>
      </c>
      <c r="J18" s="1">
        <v>21</v>
      </c>
      <c r="K18" s="1">
        <f t="shared" si="0"/>
        <v>9501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6</v>
      </c>
      <c r="L19" s="1"/>
    </row>
    <row r="20" spans="1:12" x14ac:dyDescent="0.3">
      <c r="A20" s="1" t="s">
        <v>19</v>
      </c>
      <c r="B20" s="1" t="s">
        <v>11</v>
      </c>
      <c r="C20" s="1">
        <f>452+235+363+452</f>
        <v>1502</v>
      </c>
      <c r="D20" s="1">
        <f>896+1574</f>
        <v>2470</v>
      </c>
      <c r="E20" s="1">
        <f>1564+1208</f>
        <v>2772</v>
      </c>
      <c r="F20" s="1">
        <f>727+395</f>
        <v>1122</v>
      </c>
      <c r="G20" s="1">
        <f>219+174</f>
        <v>393</v>
      </c>
      <c r="H20" s="1">
        <f>162+137</f>
        <v>299</v>
      </c>
      <c r="I20" s="1">
        <f>84+67</f>
        <v>151</v>
      </c>
      <c r="J20" s="1">
        <v>38</v>
      </c>
      <c r="K20" s="1">
        <f t="shared" si="0"/>
        <v>8747</v>
      </c>
      <c r="L20" s="1">
        <f>SUM(K20:K22)</f>
        <v>16237</v>
      </c>
    </row>
    <row r="21" spans="1:12" x14ac:dyDescent="0.3">
      <c r="A21" s="1" t="s">
        <v>19</v>
      </c>
      <c r="B21" s="1" t="s">
        <v>12</v>
      </c>
      <c r="C21" s="1">
        <f>516+231+360+401</f>
        <v>1508</v>
      </c>
      <c r="D21" s="1">
        <f>707+1237</f>
        <v>1944</v>
      </c>
      <c r="E21" s="1">
        <f>1145+823</f>
        <v>1968</v>
      </c>
      <c r="F21" s="1">
        <f>557+315</f>
        <v>872</v>
      </c>
      <c r="G21" s="1">
        <f>225+259</f>
        <v>484</v>
      </c>
      <c r="H21" s="1">
        <f>251+200</f>
        <v>451</v>
      </c>
      <c r="I21" s="1">
        <f>140+71</f>
        <v>211</v>
      </c>
      <c r="J21" s="1">
        <v>51</v>
      </c>
      <c r="K21" s="1">
        <f t="shared" si="0"/>
        <v>7489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v>1</v>
      </c>
      <c r="L2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30CE-DA57-4058-B8F6-B519A0DBDECD}">
  <sheetPr>
    <outlinePr summaryBelow="0" summaryRight="0"/>
  </sheetPr>
  <dimension ref="A1:L22"/>
  <sheetViews>
    <sheetView workbookViewId="0">
      <selection activeCell="B27" sqref="B27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2242+5651+6547+10410</f>
        <v>24850</v>
      </c>
      <c r="D2" s="1">
        <f>27713+31039</f>
        <v>58752</v>
      </c>
      <c r="E2" s="1">
        <f>18832+11608</f>
        <v>30440</v>
      </c>
      <c r="F2" s="1">
        <f>7403+5018</f>
        <v>12421</v>
      </c>
      <c r="G2" s="1">
        <f>3466+2120</f>
        <v>5586</v>
      </c>
      <c r="H2" s="1">
        <f>1136+644</f>
        <v>1780</v>
      </c>
      <c r="I2" s="1">
        <f>295+103</f>
        <v>398</v>
      </c>
      <c r="J2" s="1">
        <v>97</v>
      </c>
      <c r="K2" s="1">
        <f t="shared" ref="K2:K21" si="0">SUM(C2:J2)</f>
        <v>134324</v>
      </c>
      <c r="L2" s="1">
        <f>SUM(K2:K4)</f>
        <v>213802</v>
      </c>
    </row>
    <row r="3" spans="1:12" x14ac:dyDescent="0.3">
      <c r="A3" s="1" t="s">
        <v>10</v>
      </c>
      <c r="B3" s="1" t="s">
        <v>12</v>
      </c>
      <c r="C3" s="1">
        <f>2022+5327+6031+9148</f>
        <v>22528</v>
      </c>
      <c r="D3" s="1">
        <f>11661+15029</f>
        <v>26690</v>
      </c>
      <c r="E3" s="1">
        <f>10528+6612</f>
        <v>17140</v>
      </c>
      <c r="F3" s="1">
        <f>4242+3114</f>
        <v>7356</v>
      </c>
      <c r="G3" s="1">
        <f>2210+1460</f>
        <v>3670</v>
      </c>
      <c r="H3" s="1">
        <f>979+522</f>
        <v>1501</v>
      </c>
      <c r="I3" s="1">
        <f>278+139</f>
        <v>417</v>
      </c>
      <c r="J3" s="1">
        <v>127</v>
      </c>
      <c r="K3" s="1">
        <f t="shared" si="0"/>
        <v>79429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>36+13</f>
        <v>49</v>
      </c>
      <c r="L4" s="1"/>
    </row>
    <row r="5" spans="1:12" x14ac:dyDescent="0.3">
      <c r="A5" s="1" t="s">
        <v>14</v>
      </c>
      <c r="B5" s="1" t="s">
        <v>11</v>
      </c>
      <c r="C5" s="1">
        <f>79+147+263+447</f>
        <v>936</v>
      </c>
      <c r="D5" s="1">
        <f>420+589</f>
        <v>1009</v>
      </c>
      <c r="E5" s="1">
        <f>510+471</f>
        <v>981</v>
      </c>
      <c r="F5" s="1">
        <f>569+575</f>
        <v>1144</v>
      </c>
      <c r="G5" s="1">
        <f>462+409</f>
        <v>871</v>
      </c>
      <c r="H5" s="1">
        <f>360+288</f>
        <v>648</v>
      </c>
      <c r="I5" s="1">
        <f>192+116</f>
        <v>308</v>
      </c>
      <c r="J5" s="1">
        <v>99</v>
      </c>
      <c r="K5" s="1">
        <f t="shared" si="0"/>
        <v>5996</v>
      </c>
      <c r="L5" s="1">
        <f>SUM(K5:K7)</f>
        <v>11791</v>
      </c>
    </row>
    <row r="6" spans="1:12" x14ac:dyDescent="0.3">
      <c r="A6" s="1" t="s">
        <v>14</v>
      </c>
      <c r="B6" s="1" t="s">
        <v>12</v>
      </c>
      <c r="C6" s="1">
        <f>69+135+235+414</f>
        <v>853</v>
      </c>
      <c r="D6" s="1">
        <f>422+489</f>
        <v>911</v>
      </c>
      <c r="E6" s="1">
        <f>391+414</f>
        <v>805</v>
      </c>
      <c r="F6" s="1">
        <f>451+435</f>
        <v>886</v>
      </c>
      <c r="G6" s="1">
        <f>475+477</f>
        <v>952</v>
      </c>
      <c r="H6" s="1">
        <f>457+352</f>
        <v>809</v>
      </c>
      <c r="I6" s="1">
        <f>237+175</f>
        <v>412</v>
      </c>
      <c r="J6" s="1">
        <v>164</v>
      </c>
      <c r="K6" s="1">
        <f t="shared" si="0"/>
        <v>5792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3</v>
      </c>
      <c r="L7" s="1"/>
    </row>
    <row r="8" spans="1:12" x14ac:dyDescent="0.3">
      <c r="A8" s="1" t="s">
        <v>15</v>
      </c>
      <c r="B8" s="1" t="s">
        <v>11</v>
      </c>
      <c r="C8" s="1">
        <f>1599+2111+2547+2766</f>
        <v>9023</v>
      </c>
      <c r="D8" s="1">
        <f>1873+2920</f>
        <v>4793</v>
      </c>
      <c r="E8" s="1">
        <f>2269+1546</f>
        <v>3815</v>
      </c>
      <c r="F8" s="1">
        <f>945+550</f>
        <v>1495</v>
      </c>
      <c r="G8" s="1">
        <f>428+357</f>
        <v>785</v>
      </c>
      <c r="H8" s="1">
        <f>271+195</f>
        <v>466</v>
      </c>
      <c r="I8" s="1">
        <f>112+54</f>
        <v>166</v>
      </c>
      <c r="J8" s="1">
        <v>40</v>
      </c>
      <c r="K8" s="1">
        <f t="shared" si="0"/>
        <v>20583</v>
      </c>
      <c r="L8" s="1">
        <f>SUM(K8:K10)</f>
        <v>41969</v>
      </c>
    </row>
    <row r="9" spans="1:12" x14ac:dyDescent="0.3">
      <c r="A9" s="1" t="s">
        <v>15</v>
      </c>
      <c r="B9" s="1" t="s">
        <v>12</v>
      </c>
      <c r="C9" s="1">
        <f>1611+2028+2519+2806</f>
        <v>8964</v>
      </c>
      <c r="D9" s="1">
        <f>2426+2925</f>
        <v>5351</v>
      </c>
      <c r="E9" s="1">
        <f>2178+1429</f>
        <v>3607</v>
      </c>
      <c r="F9" s="1">
        <f>1019+687</f>
        <v>1706</v>
      </c>
      <c r="G9" s="1">
        <f>528+447</f>
        <v>975</v>
      </c>
      <c r="H9" s="1">
        <f>344+230</f>
        <v>574</v>
      </c>
      <c r="I9" s="1">
        <f>120+63</f>
        <v>183</v>
      </c>
      <c r="J9" s="1">
        <v>26</v>
      </c>
      <c r="K9" s="1">
        <f t="shared" si="0"/>
        <v>21386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f t="shared" si="0"/>
        <v>0</v>
      </c>
      <c r="L10" s="1"/>
    </row>
    <row r="11" spans="1:12" x14ac:dyDescent="0.3">
      <c r="A11" s="1" t="s">
        <v>16</v>
      </c>
      <c r="B11" s="1" t="s">
        <v>11</v>
      </c>
      <c r="C11" s="1">
        <f>176+441+2172+3091</f>
        <v>5880</v>
      </c>
      <c r="D11" s="1">
        <f>1669+1903</f>
        <v>3572</v>
      </c>
      <c r="E11" s="1">
        <f>1380+924</f>
        <v>2304</v>
      </c>
      <c r="F11" s="1">
        <f>477+261</f>
        <v>738</v>
      </c>
      <c r="G11" s="1">
        <f>164+98</f>
        <v>262</v>
      </c>
      <c r="H11" s="1">
        <f>96+64</f>
        <v>160</v>
      </c>
      <c r="I11" s="1">
        <f>41+23</f>
        <v>64</v>
      </c>
      <c r="J11" s="1">
        <f>19</f>
        <v>19</v>
      </c>
      <c r="K11" s="1">
        <f t="shared" si="0"/>
        <v>12999</v>
      </c>
      <c r="L11" s="1">
        <f>SUM(K11:K13)</f>
        <v>26191</v>
      </c>
    </row>
    <row r="12" spans="1:12" x14ac:dyDescent="0.3">
      <c r="A12" s="1" t="s">
        <v>16</v>
      </c>
      <c r="B12" s="1" t="s">
        <v>12</v>
      </c>
      <c r="C12" s="1">
        <f>141+488+2220+2878</f>
        <v>5727</v>
      </c>
      <c r="D12" s="1">
        <f>1280+1778</f>
        <v>3058</v>
      </c>
      <c r="E12" s="1">
        <f>1565+1035</f>
        <v>2600</v>
      </c>
      <c r="F12" s="1">
        <f>620+345</f>
        <v>965</v>
      </c>
      <c r="G12" s="1">
        <f>230+187</f>
        <v>417</v>
      </c>
      <c r="H12" s="1">
        <f>159+120</f>
        <v>279</v>
      </c>
      <c r="I12" s="1">
        <f>82+35</f>
        <v>117</v>
      </c>
      <c r="J12" s="1">
        <v>26</v>
      </c>
      <c r="K12" s="1">
        <f t="shared" si="0"/>
        <v>13189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3</v>
      </c>
      <c r="L13" s="1"/>
    </row>
    <row r="14" spans="1:12" x14ac:dyDescent="0.3">
      <c r="A14" s="1" t="s">
        <v>17</v>
      </c>
      <c r="B14" s="1" t="s">
        <v>11</v>
      </c>
      <c r="C14" s="1">
        <f>284+246+567+712</f>
        <v>1809</v>
      </c>
      <c r="D14" s="1">
        <f>698+1047</f>
        <v>1745</v>
      </c>
      <c r="E14" s="1">
        <f>798+487</f>
        <v>1285</v>
      </c>
      <c r="F14" s="1">
        <f>303+158</f>
        <v>461</v>
      </c>
      <c r="G14" s="1">
        <f>81+54</f>
        <v>135</v>
      </c>
      <c r="H14" s="1">
        <f>42+26</f>
        <v>68</v>
      </c>
      <c r="I14" s="1">
        <f>13+8</f>
        <v>21</v>
      </c>
      <c r="J14" s="1">
        <v>5</v>
      </c>
      <c r="K14" s="1">
        <f t="shared" si="0"/>
        <v>5529</v>
      </c>
      <c r="L14" s="1">
        <f>SUM(K14:K16)</f>
        <v>10521</v>
      </c>
    </row>
    <row r="15" spans="1:12" x14ac:dyDescent="0.3">
      <c r="A15" s="1" t="s">
        <v>17</v>
      </c>
      <c r="B15" s="1" t="s">
        <v>12</v>
      </c>
      <c r="C15" s="1">
        <f>274+228+586+591</f>
        <v>1679</v>
      </c>
      <c r="D15" s="1">
        <f>493+789</f>
        <v>1282</v>
      </c>
      <c r="E15" s="1">
        <f>690+486</f>
        <v>1176</v>
      </c>
      <c r="F15" s="1">
        <f>321+164</f>
        <v>485</v>
      </c>
      <c r="G15" s="1">
        <f>121+84</f>
        <v>205</v>
      </c>
      <c r="H15" s="1">
        <f>76+38</f>
        <v>114</v>
      </c>
      <c r="I15" s="1">
        <f>29+15</f>
        <v>44</v>
      </c>
      <c r="J15" s="1">
        <v>7</v>
      </c>
      <c r="K15" s="1">
        <f t="shared" si="0"/>
        <v>4992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f t="shared" si="0"/>
        <v>0</v>
      </c>
      <c r="L16" s="1"/>
    </row>
    <row r="17" spans="1:12" x14ac:dyDescent="0.3">
      <c r="A17" s="1" t="s">
        <v>18</v>
      </c>
      <c r="B17" s="1" t="s">
        <v>11</v>
      </c>
      <c r="C17" s="1">
        <f>327+405+700+636</f>
        <v>2068</v>
      </c>
      <c r="D17" s="1">
        <f>421+802</f>
        <v>1223</v>
      </c>
      <c r="E17" s="1">
        <f>791+501</f>
        <v>1292</v>
      </c>
      <c r="F17" s="1">
        <f>316+175</f>
        <v>491</v>
      </c>
      <c r="G17" s="1">
        <f>141+100</f>
        <v>241</v>
      </c>
      <c r="H17" s="1">
        <f>112+69</f>
        <v>181</v>
      </c>
      <c r="I17" s="1">
        <f>39+23</f>
        <v>62</v>
      </c>
      <c r="J17" s="1">
        <v>10</v>
      </c>
      <c r="K17" s="1">
        <f t="shared" si="0"/>
        <v>5568</v>
      </c>
      <c r="L17" s="1">
        <f>SUM(K17:K19)</f>
        <v>13201</v>
      </c>
    </row>
    <row r="18" spans="1:12" x14ac:dyDescent="0.3">
      <c r="A18" s="1" t="s">
        <v>18</v>
      </c>
      <c r="B18" s="1" t="s">
        <v>12</v>
      </c>
      <c r="C18" s="1">
        <f>340+406+630+614</f>
        <v>1990</v>
      </c>
      <c r="D18" s="1">
        <f>572+1174</f>
        <v>1746</v>
      </c>
      <c r="E18" s="1">
        <f>1172+837</f>
        <v>2009</v>
      </c>
      <c r="F18" s="1">
        <f>519+333</f>
        <v>852</v>
      </c>
      <c r="G18" s="1">
        <f>285+254</f>
        <v>539</v>
      </c>
      <c r="H18" s="1">
        <f>205+140</f>
        <v>345</v>
      </c>
      <c r="I18" s="1">
        <f>72+58</f>
        <v>130</v>
      </c>
      <c r="J18" s="1">
        <v>18</v>
      </c>
      <c r="K18" s="1">
        <f t="shared" si="0"/>
        <v>7629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4</v>
      </c>
      <c r="L19" s="1"/>
    </row>
    <row r="20" spans="1:12" x14ac:dyDescent="0.3">
      <c r="A20" s="1" t="s">
        <v>19</v>
      </c>
      <c r="B20" s="1" t="s">
        <v>11</v>
      </c>
      <c r="C20" s="1">
        <f>246+242+489+577</f>
        <v>1554</v>
      </c>
      <c r="D20" s="1">
        <f>354+492</f>
        <v>846</v>
      </c>
      <c r="E20" s="1">
        <f>533+459</f>
        <v>992</v>
      </c>
      <c r="F20" s="1">
        <f>283+201</f>
        <v>484</v>
      </c>
      <c r="G20" s="1">
        <f>138+103</f>
        <v>241</v>
      </c>
      <c r="H20" s="1">
        <f>121+113</f>
        <v>234</v>
      </c>
      <c r="I20" s="1">
        <f>89+35</f>
        <v>124</v>
      </c>
      <c r="J20" s="1">
        <v>25</v>
      </c>
      <c r="K20" s="1">
        <f t="shared" si="0"/>
        <v>4500</v>
      </c>
      <c r="L20" s="1">
        <f>SUM(K20:K22)</f>
        <v>9868</v>
      </c>
    </row>
    <row r="21" spans="1:12" x14ac:dyDescent="0.3">
      <c r="A21" s="1" t="s">
        <v>19</v>
      </c>
      <c r="B21" s="1" t="s">
        <v>12</v>
      </c>
      <c r="C21" s="1">
        <f>287+254+435+512</f>
        <v>1488</v>
      </c>
      <c r="D21" s="1">
        <f>416+650</f>
        <v>1066</v>
      </c>
      <c r="E21" s="1">
        <f>690+551</f>
        <v>1241</v>
      </c>
      <c r="F21" s="1">
        <f>371+241</f>
        <v>612</v>
      </c>
      <c r="G21" s="1">
        <f>176+214</f>
        <v>390</v>
      </c>
      <c r="H21" s="1">
        <f>197+188</f>
        <v>385</v>
      </c>
      <c r="I21" s="1">
        <f>104+61</f>
        <v>165</v>
      </c>
      <c r="J21" s="1">
        <v>20</v>
      </c>
      <c r="K21" s="1">
        <f t="shared" si="0"/>
        <v>5367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v>1</v>
      </c>
      <c r="L2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2867-A0D2-4B42-85E8-38A942461A70}">
  <sheetPr>
    <outlinePr summaryBelow="0" summaryRight="0"/>
  </sheetPr>
  <dimension ref="A1:L22"/>
  <sheetViews>
    <sheetView workbookViewId="0">
      <selection activeCell="E30" sqref="E30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2164+6545+7560+10465</f>
        <v>26734</v>
      </c>
      <c r="D2" s="1">
        <f>9089+8173</f>
        <v>17262</v>
      </c>
      <c r="E2" s="1">
        <f>4973+3017</f>
        <v>7990</v>
      </c>
      <c r="F2" s="1">
        <f>1938+1368</f>
        <v>3306</v>
      </c>
      <c r="G2" s="1">
        <f>1044+815</f>
        <v>1859</v>
      </c>
      <c r="H2" s="1">
        <f>659+432</f>
        <v>1091</v>
      </c>
      <c r="I2" s="1">
        <f>280+138</f>
        <v>418</v>
      </c>
      <c r="J2" s="1">
        <f>110</f>
        <v>110</v>
      </c>
      <c r="K2" s="1">
        <f t="shared" ref="K2:K22" si="0">SUM(C2:J2)</f>
        <v>58770</v>
      </c>
      <c r="L2" s="1">
        <f>SUM(K2:K4)</f>
        <v>126561</v>
      </c>
    </row>
    <row r="3" spans="1:12" x14ac:dyDescent="0.3">
      <c r="A3" s="1" t="s">
        <v>10</v>
      </c>
      <c r="B3" s="1" t="s">
        <v>12</v>
      </c>
      <c r="C3" s="1">
        <f>2083+6312+7183+9448</f>
        <v>25026</v>
      </c>
      <c r="D3" s="1">
        <f>9453+10419</f>
        <v>19872</v>
      </c>
      <c r="E3" s="1">
        <f>6925+4549</f>
        <v>11474</v>
      </c>
      <c r="F3" s="1">
        <f>3245+2550</f>
        <v>5795</v>
      </c>
      <c r="G3" s="1">
        <f>1875+1437</f>
        <v>3312</v>
      </c>
      <c r="H3" s="1">
        <f>1023+639</f>
        <v>1662</v>
      </c>
      <c r="I3" s="1">
        <f>327+155</f>
        <v>482</v>
      </c>
      <c r="J3" s="1">
        <v>150</v>
      </c>
      <c r="K3" s="1">
        <f t="shared" si="0"/>
        <v>67773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v>18</v>
      </c>
      <c r="L4" s="1"/>
    </row>
    <row r="5" spans="1:12" x14ac:dyDescent="0.3">
      <c r="A5" s="1" t="s">
        <v>14</v>
      </c>
      <c r="B5" s="1" t="s">
        <v>11</v>
      </c>
      <c r="C5" s="1">
        <f>116+257+260+403</f>
        <v>1036</v>
      </c>
      <c r="D5" s="1">
        <f>480+759</f>
        <v>1239</v>
      </c>
      <c r="E5" s="1">
        <f>708+560</f>
        <v>1268</v>
      </c>
      <c r="F5" s="1">
        <f>645+794</f>
        <v>1439</v>
      </c>
      <c r="G5" s="1">
        <f>713+530</f>
        <v>1243</v>
      </c>
      <c r="H5" s="1">
        <f>415+278</f>
        <v>693</v>
      </c>
      <c r="I5" s="1">
        <f>170+88</f>
        <v>258</v>
      </c>
      <c r="J5" s="1">
        <v>72</v>
      </c>
      <c r="K5" s="1">
        <f t="shared" si="0"/>
        <v>7248</v>
      </c>
      <c r="L5" s="1">
        <f>SUM(K5:K7)</f>
        <v>13666</v>
      </c>
    </row>
    <row r="6" spans="1:12" x14ac:dyDescent="0.3">
      <c r="A6" s="1" t="s">
        <v>14</v>
      </c>
      <c r="B6" s="1" t="s">
        <v>12</v>
      </c>
      <c r="C6" s="1">
        <f>96+215+223+418</f>
        <v>952</v>
      </c>
      <c r="D6" s="1">
        <f>422+506</f>
        <v>928</v>
      </c>
      <c r="E6" s="1">
        <f>535+421</f>
        <v>956</v>
      </c>
      <c r="F6" s="1">
        <f>535+615</f>
        <v>1150</v>
      </c>
      <c r="G6" s="1">
        <f>592+471</f>
        <v>1063</v>
      </c>
      <c r="H6" s="1">
        <f>442+324</f>
        <v>766</v>
      </c>
      <c r="I6" s="1">
        <f>252+163</f>
        <v>415</v>
      </c>
      <c r="J6" s="1">
        <v>187</v>
      </c>
      <c r="K6" s="1">
        <f t="shared" si="0"/>
        <v>6417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1</v>
      </c>
      <c r="L7" s="1"/>
    </row>
    <row r="8" spans="1:12" x14ac:dyDescent="0.3">
      <c r="A8" s="1" t="s">
        <v>15</v>
      </c>
      <c r="B8" s="1" t="s">
        <v>11</v>
      </c>
      <c r="C8" s="1">
        <f>1647+1958+2272+2603</f>
        <v>8480</v>
      </c>
      <c r="D8" s="1">
        <f>2172+3628</f>
        <v>5800</v>
      </c>
      <c r="E8" s="1">
        <f>2592+1822</f>
        <v>4414</v>
      </c>
      <c r="F8" s="1">
        <f>1045+623</f>
        <v>1668</v>
      </c>
      <c r="G8" s="1">
        <f>437+352</f>
        <v>789</v>
      </c>
      <c r="H8" s="1">
        <f>330+236</f>
        <v>566</v>
      </c>
      <c r="I8" s="1">
        <f>120+66</f>
        <v>186</v>
      </c>
      <c r="J8" s="1">
        <f>38</f>
        <v>38</v>
      </c>
      <c r="K8" s="1">
        <f t="shared" si="0"/>
        <v>21941</v>
      </c>
      <c r="L8" s="1">
        <f>SUM(K8:K10)</f>
        <v>45420</v>
      </c>
    </row>
    <row r="9" spans="1:12" x14ac:dyDescent="0.3">
      <c r="A9" s="1" t="s">
        <v>15</v>
      </c>
      <c r="B9" s="1" t="s">
        <v>12</v>
      </c>
      <c r="C9" s="1">
        <f>1621+1943+2279+2779</f>
        <v>8622</v>
      </c>
      <c r="D9" s="1">
        <f>2712+3518</f>
        <v>6230</v>
      </c>
      <c r="E9" s="1">
        <f>2620+1843</f>
        <v>4463</v>
      </c>
      <c r="F9" s="1">
        <f>1255+778</f>
        <v>2033</v>
      </c>
      <c r="G9" s="1">
        <f>639+511</f>
        <v>1150</v>
      </c>
      <c r="H9" s="1">
        <f>391+297</f>
        <v>688</v>
      </c>
      <c r="I9" s="1">
        <f>153+97</f>
        <v>250</v>
      </c>
      <c r="J9" s="1">
        <v>41</v>
      </c>
      <c r="K9" s="1">
        <f t="shared" si="0"/>
        <v>23477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v>2</v>
      </c>
      <c r="L10" s="1"/>
    </row>
    <row r="11" spans="1:12" x14ac:dyDescent="0.3">
      <c r="A11" s="1" t="s">
        <v>16</v>
      </c>
      <c r="B11" s="1" t="s">
        <v>11</v>
      </c>
      <c r="C11" s="1">
        <f>224+576+2393+3346</f>
        <v>6539</v>
      </c>
      <c r="D11" s="1">
        <f>1497+1572</f>
        <v>3069</v>
      </c>
      <c r="E11" s="1">
        <f>1095+641</f>
        <v>1736</v>
      </c>
      <c r="F11" s="1">
        <f>374+226</f>
        <v>600</v>
      </c>
      <c r="G11" s="1">
        <f>126+133</f>
        <v>259</v>
      </c>
      <c r="H11" s="1">
        <f>112+74</f>
        <v>186</v>
      </c>
      <c r="I11" s="1">
        <f>66+35</f>
        <v>101</v>
      </c>
      <c r="J11" s="1">
        <v>17</v>
      </c>
      <c r="K11" s="1">
        <f t="shared" si="0"/>
        <v>12507</v>
      </c>
      <c r="L11" s="1">
        <f>SUM(K11:K13)</f>
        <v>26818</v>
      </c>
    </row>
    <row r="12" spans="1:12" x14ac:dyDescent="0.3">
      <c r="A12" s="1" t="s">
        <v>16</v>
      </c>
      <c r="B12" s="1" t="s">
        <v>12</v>
      </c>
      <c r="C12" s="1">
        <f>201+579+2259+3261</f>
        <v>6300</v>
      </c>
      <c r="D12" s="1">
        <f>1497+1856</f>
        <v>3353</v>
      </c>
      <c r="E12" s="1">
        <f>1588+1000</f>
        <v>2588</v>
      </c>
      <c r="F12" s="1">
        <f>661+405</f>
        <v>1066</v>
      </c>
      <c r="G12" s="1">
        <f>270+253</f>
        <v>523</v>
      </c>
      <c r="H12" s="1">
        <f>183+145</f>
        <v>328</v>
      </c>
      <c r="I12" s="1">
        <f>87+40</f>
        <v>127</v>
      </c>
      <c r="J12" s="1">
        <f>25</f>
        <v>25</v>
      </c>
      <c r="K12" s="1">
        <f t="shared" si="0"/>
        <v>14310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1</v>
      </c>
      <c r="L13" s="1"/>
    </row>
    <row r="14" spans="1:12" x14ac:dyDescent="0.3">
      <c r="A14" s="1" t="s">
        <v>17</v>
      </c>
      <c r="B14" s="1" t="s">
        <v>11</v>
      </c>
      <c r="C14" s="1">
        <f>371+370+939+1196</f>
        <v>2876</v>
      </c>
      <c r="D14" s="1">
        <f>644+632</f>
        <v>1276</v>
      </c>
      <c r="E14" s="1">
        <f>510+334</f>
        <v>844</v>
      </c>
      <c r="F14" s="1">
        <f>220+122</f>
        <v>342</v>
      </c>
      <c r="G14" s="1">
        <f>88+62</f>
        <v>150</v>
      </c>
      <c r="H14" s="1">
        <f>37+26</f>
        <v>63</v>
      </c>
      <c r="I14" s="1">
        <f>20+6</f>
        <v>26</v>
      </c>
      <c r="J14" s="1">
        <v>11</v>
      </c>
      <c r="K14" s="1">
        <f t="shared" si="0"/>
        <v>5588</v>
      </c>
      <c r="L14" s="1">
        <f>SUM(K14:K16)</f>
        <v>11870</v>
      </c>
    </row>
    <row r="15" spans="1:12" x14ac:dyDescent="0.3">
      <c r="A15" s="1" t="s">
        <v>17</v>
      </c>
      <c r="B15" s="1" t="s">
        <v>12</v>
      </c>
      <c r="C15" s="1">
        <f>328+330+913+1136</f>
        <v>2707</v>
      </c>
      <c r="D15" s="1">
        <f>569+762</f>
        <v>1331</v>
      </c>
      <c r="E15" s="1">
        <f>748+517</f>
        <v>1265</v>
      </c>
      <c r="F15" s="1">
        <f>374+219</f>
        <v>593</v>
      </c>
      <c r="G15" s="1">
        <f>140+90</f>
        <v>230</v>
      </c>
      <c r="H15" s="1">
        <f>61+52</f>
        <v>113</v>
      </c>
      <c r="I15" s="1">
        <f>23+11</f>
        <v>34</v>
      </c>
      <c r="J15" s="1">
        <v>9</v>
      </c>
      <c r="K15" s="1">
        <f t="shared" si="0"/>
        <v>6282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f t="shared" si="0"/>
        <v>0</v>
      </c>
      <c r="L16" s="1"/>
    </row>
    <row r="17" spans="1:12" x14ac:dyDescent="0.3">
      <c r="A17" s="1" t="s">
        <v>18</v>
      </c>
      <c r="B17" s="1" t="s">
        <v>11</v>
      </c>
      <c r="C17" s="1">
        <f>386+397+627+601</f>
        <v>2011</v>
      </c>
      <c r="D17" s="1">
        <f>371+716</f>
        <v>1087</v>
      </c>
      <c r="E17" s="1">
        <f>713+490</f>
        <v>1203</v>
      </c>
      <c r="F17" s="1">
        <f>283+190</f>
        <v>473</v>
      </c>
      <c r="G17" s="1">
        <f>122+105</f>
        <v>227</v>
      </c>
      <c r="H17" s="1">
        <f>102+63</f>
        <v>165</v>
      </c>
      <c r="I17" s="1">
        <f>47+23</f>
        <v>70</v>
      </c>
      <c r="J17" s="1">
        <v>23</v>
      </c>
      <c r="K17" s="1">
        <f t="shared" si="0"/>
        <v>5259</v>
      </c>
      <c r="L17" s="1">
        <f>SUM(K17:K19)</f>
        <v>12819</v>
      </c>
    </row>
    <row r="18" spans="1:12" x14ac:dyDescent="0.3">
      <c r="A18" s="1" t="s">
        <v>18</v>
      </c>
      <c r="B18" s="1" t="s">
        <v>12</v>
      </c>
      <c r="C18" s="1">
        <f>368+375+602+576</f>
        <v>1921</v>
      </c>
      <c r="D18" s="1">
        <f>618+1109</f>
        <v>1727</v>
      </c>
      <c r="E18" s="1">
        <f>1169+871</f>
        <v>2040</v>
      </c>
      <c r="F18" s="1">
        <f>521+334</f>
        <v>855</v>
      </c>
      <c r="G18" s="1">
        <f>293+232</f>
        <v>525</v>
      </c>
      <c r="H18" s="1">
        <f>193+143</f>
        <v>336</v>
      </c>
      <c r="I18" s="1">
        <f>70+59</f>
        <v>129</v>
      </c>
      <c r="J18" s="1">
        <v>25</v>
      </c>
      <c r="K18" s="1">
        <f t="shared" si="0"/>
        <v>7558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2</v>
      </c>
      <c r="L19" s="1"/>
    </row>
    <row r="20" spans="1:12" x14ac:dyDescent="0.3">
      <c r="A20" s="1" t="s">
        <v>19</v>
      </c>
      <c r="B20" s="1" t="s">
        <v>11</v>
      </c>
      <c r="C20" s="1">
        <f>235+307+503+600</f>
        <v>1645</v>
      </c>
      <c r="D20" s="1">
        <f>370+491</f>
        <v>861</v>
      </c>
      <c r="E20" s="1">
        <f>479+388</f>
        <v>867</v>
      </c>
      <c r="F20" s="1">
        <f>276+204</f>
        <v>480</v>
      </c>
      <c r="G20" s="1">
        <f>115+140</f>
        <v>255</v>
      </c>
      <c r="H20" s="1">
        <f>152+146</f>
        <v>298</v>
      </c>
      <c r="I20" s="1">
        <f>110+48</f>
        <v>158</v>
      </c>
      <c r="J20" s="1">
        <v>31</v>
      </c>
      <c r="K20" s="1">
        <f t="shared" si="0"/>
        <v>4595</v>
      </c>
      <c r="L20" s="1">
        <f>SUM(K20:K22)</f>
        <v>10447</v>
      </c>
    </row>
    <row r="21" spans="1:12" x14ac:dyDescent="0.3">
      <c r="A21" s="1" t="s">
        <v>19</v>
      </c>
      <c r="B21" s="1" t="s">
        <v>12</v>
      </c>
      <c r="C21" s="1">
        <f>260+293+509+596</f>
        <v>1658</v>
      </c>
      <c r="D21" s="1">
        <f>528+669</f>
        <v>1197</v>
      </c>
      <c r="E21" s="1">
        <f>672+527</f>
        <v>1199</v>
      </c>
      <c r="F21" s="1">
        <f>379+240</f>
        <v>619</v>
      </c>
      <c r="G21" s="1">
        <f>212+279</f>
        <v>491</v>
      </c>
      <c r="H21" s="1">
        <f>244+186</f>
        <v>430</v>
      </c>
      <c r="I21" s="1">
        <f>141+70</f>
        <v>211</v>
      </c>
      <c r="J21" s="1">
        <v>47</v>
      </c>
      <c r="K21" s="1">
        <f t="shared" si="0"/>
        <v>5852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f t="shared" si="0"/>
        <v>0</v>
      </c>
      <c r="L2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4AB0-940D-41FB-A52D-2DFAB0768FE1}">
  <sheetPr>
    <outlinePr summaryBelow="0" summaryRight="0"/>
  </sheetPr>
  <dimension ref="A1:L22"/>
  <sheetViews>
    <sheetView workbookViewId="0">
      <selection activeCell="B26" sqref="B26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1986+6597+8294+9868</f>
        <v>26745</v>
      </c>
      <c r="D2" s="1">
        <f>7566+5150</f>
        <v>12716</v>
      </c>
      <c r="E2" s="1">
        <f>3014+1778</f>
        <v>4792</v>
      </c>
      <c r="F2" s="1">
        <f>1150+890</f>
        <v>2040</v>
      </c>
      <c r="G2" s="1">
        <f>809+661</f>
        <v>1470</v>
      </c>
      <c r="H2" s="1">
        <f>504+395</f>
        <v>899</v>
      </c>
      <c r="I2" s="1">
        <f>284+148</f>
        <v>432</v>
      </c>
      <c r="J2" s="1">
        <v>102</v>
      </c>
      <c r="K2" s="1">
        <f t="shared" ref="K2:K22" si="0">SUM(C2:J2)</f>
        <v>49196</v>
      </c>
      <c r="L2" s="1">
        <f>SUM(K2:K4)</f>
        <v>111398</v>
      </c>
    </row>
    <row r="3" spans="1:12" x14ac:dyDescent="0.3">
      <c r="A3" s="1" t="s">
        <v>10</v>
      </c>
      <c r="B3" s="1" t="s">
        <v>12</v>
      </c>
      <c r="C3" s="1">
        <f>2021+6038+7653+8761</f>
        <v>24473</v>
      </c>
      <c r="D3" s="1">
        <f>7636+8702</f>
        <v>16338</v>
      </c>
      <c r="E3" s="1">
        <f>6238+4194</f>
        <v>10432</v>
      </c>
      <c r="F3" s="1">
        <f>2981+2418</f>
        <v>5399</v>
      </c>
      <c r="G3" s="1">
        <f>1931+1405</f>
        <v>3336</v>
      </c>
      <c r="H3" s="1">
        <f>977+574</f>
        <v>1551</v>
      </c>
      <c r="I3" s="1">
        <f>348+169</f>
        <v>517</v>
      </c>
      <c r="J3" s="1">
        <v>150</v>
      </c>
      <c r="K3" s="1">
        <f t="shared" si="0"/>
        <v>62196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v>6</v>
      </c>
      <c r="L4" s="1"/>
    </row>
    <row r="5" spans="1:12" x14ac:dyDescent="0.3">
      <c r="A5" s="1" t="s">
        <v>14</v>
      </c>
      <c r="B5" s="1" t="s">
        <v>11</v>
      </c>
      <c r="C5" s="1">
        <f>131+294+329+416</f>
        <v>1170</v>
      </c>
      <c r="D5" s="1">
        <f>603+815</f>
        <v>1418</v>
      </c>
      <c r="E5" s="1">
        <f>921+642</f>
        <v>1563</v>
      </c>
      <c r="F5" s="1">
        <f>644+703</f>
        <v>1347</v>
      </c>
      <c r="G5" s="1">
        <f>606+468</f>
        <v>1074</v>
      </c>
      <c r="H5" s="1">
        <f>384+335</f>
        <v>719</v>
      </c>
      <c r="I5" s="1">
        <f>206+133</f>
        <v>339</v>
      </c>
      <c r="J5" s="1">
        <f>117</f>
        <v>117</v>
      </c>
      <c r="K5" s="1">
        <f t="shared" si="0"/>
        <v>7747</v>
      </c>
      <c r="L5" s="1">
        <f>SUM(K5:K7)</f>
        <v>14727</v>
      </c>
    </row>
    <row r="6" spans="1:12" x14ac:dyDescent="0.3">
      <c r="A6" s="1" t="s">
        <v>14</v>
      </c>
      <c r="B6" s="1" t="s">
        <v>12</v>
      </c>
      <c r="C6" s="1">
        <f>102+276+260+420</f>
        <v>1058</v>
      </c>
      <c r="D6" s="1">
        <f>507+518</f>
        <v>1025</v>
      </c>
      <c r="E6" s="1">
        <f>601+467</f>
        <v>1068</v>
      </c>
      <c r="F6" s="1">
        <f>544+601</f>
        <v>1145</v>
      </c>
      <c r="G6" s="1">
        <f>580+538</f>
        <v>1118</v>
      </c>
      <c r="H6" s="1">
        <f>433+414</f>
        <v>847</v>
      </c>
      <c r="I6" s="1">
        <f>300+220</f>
        <v>520</v>
      </c>
      <c r="J6" s="1">
        <v>195</v>
      </c>
      <c r="K6" s="1">
        <f t="shared" si="0"/>
        <v>6976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4</v>
      </c>
      <c r="L7" s="1"/>
    </row>
    <row r="8" spans="1:12" x14ac:dyDescent="0.3">
      <c r="A8" s="1" t="s">
        <v>15</v>
      </c>
      <c r="B8" s="1" t="s">
        <v>11</v>
      </c>
      <c r="C8" s="1">
        <f>1543+2352+2653+2855</f>
        <v>9403</v>
      </c>
      <c r="D8" s="1">
        <f>2304+3855</f>
        <v>6159</v>
      </c>
      <c r="E8" s="1">
        <f>3043+2063</f>
        <v>5106</v>
      </c>
      <c r="F8" s="1">
        <f>1289+860</f>
        <v>2149</v>
      </c>
      <c r="G8" s="1">
        <f>547+451</f>
        <v>998</v>
      </c>
      <c r="H8" s="1">
        <f>400+318</f>
        <v>718</v>
      </c>
      <c r="I8" s="1">
        <f>175+83</f>
        <v>258</v>
      </c>
      <c r="J8" s="1">
        <v>77</v>
      </c>
      <c r="K8" s="1">
        <f t="shared" si="0"/>
        <v>24868</v>
      </c>
      <c r="L8" s="1">
        <f>SUM(K8:K10)</f>
        <v>51189</v>
      </c>
    </row>
    <row r="9" spans="1:12" x14ac:dyDescent="0.3">
      <c r="A9" s="1" t="s">
        <v>15</v>
      </c>
      <c r="B9" s="1" t="s">
        <v>12</v>
      </c>
      <c r="C9" s="1">
        <f>1497+2362+2879+3066</f>
        <v>9804</v>
      </c>
      <c r="D9" s="1">
        <f>2508+3526</f>
        <v>6034</v>
      </c>
      <c r="E9" s="1">
        <f>3023+2055</f>
        <v>5078</v>
      </c>
      <c r="F9" s="1">
        <f>1529+987</f>
        <v>2516</v>
      </c>
      <c r="G9" s="1">
        <f>807+709</f>
        <v>1516</v>
      </c>
      <c r="H9" s="1">
        <f>553+418</f>
        <v>971</v>
      </c>
      <c r="I9" s="1">
        <f>225+122</f>
        <v>347</v>
      </c>
      <c r="J9" s="1">
        <v>55</v>
      </c>
      <c r="K9" s="1">
        <f t="shared" si="0"/>
        <v>26321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f t="shared" si="0"/>
        <v>0</v>
      </c>
      <c r="L10" s="1"/>
    </row>
    <row r="11" spans="1:12" x14ac:dyDescent="0.3">
      <c r="A11" s="1" t="s">
        <v>16</v>
      </c>
      <c r="B11" s="1" t="s">
        <v>11</v>
      </c>
      <c r="C11" s="1">
        <f>149+436+1549+2017</f>
        <v>4151</v>
      </c>
      <c r="D11" s="1">
        <f>935+1033</f>
        <v>1968</v>
      </c>
      <c r="E11" s="1">
        <f>737+413</f>
        <v>1150</v>
      </c>
      <c r="F11" s="1">
        <f>272+154</f>
        <v>426</v>
      </c>
      <c r="G11" s="1">
        <f>104+87</f>
        <v>191</v>
      </c>
      <c r="H11" s="1">
        <f>68+51</f>
        <v>119</v>
      </c>
      <c r="I11" s="1">
        <f>24+20</f>
        <v>44</v>
      </c>
      <c r="J11" s="1">
        <v>8</v>
      </c>
      <c r="K11" s="1">
        <f t="shared" si="0"/>
        <v>8057</v>
      </c>
      <c r="L11" s="1">
        <f>SUM(K11:K13)</f>
        <v>17644</v>
      </c>
    </row>
    <row r="12" spans="1:12" x14ac:dyDescent="0.3">
      <c r="A12" s="1" t="s">
        <v>16</v>
      </c>
      <c r="B12" s="1" t="s">
        <v>12</v>
      </c>
      <c r="C12" s="1">
        <f>137+399+1463+1984</f>
        <v>3983</v>
      </c>
      <c r="D12" s="1">
        <f>995+1317</f>
        <v>2312</v>
      </c>
      <c r="E12" s="1">
        <f>1183+756</f>
        <v>1939</v>
      </c>
      <c r="F12" s="1">
        <f>468+253</f>
        <v>721</v>
      </c>
      <c r="G12" s="1">
        <f>180+135</f>
        <v>315</v>
      </c>
      <c r="H12" s="1">
        <f>133+89</f>
        <v>222</v>
      </c>
      <c r="I12" s="1">
        <f>58+23</f>
        <v>81</v>
      </c>
      <c r="J12" s="1">
        <v>13</v>
      </c>
      <c r="K12" s="1">
        <f t="shared" si="0"/>
        <v>9586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1</v>
      </c>
      <c r="L13" s="1"/>
    </row>
    <row r="14" spans="1:12" x14ac:dyDescent="0.3">
      <c r="A14" s="1" t="s">
        <v>17</v>
      </c>
      <c r="B14" s="1" t="s">
        <v>11</v>
      </c>
      <c r="C14" s="1">
        <f>267+204+506+660</f>
        <v>1637</v>
      </c>
      <c r="D14" s="1">
        <f>375+454</f>
        <v>829</v>
      </c>
      <c r="E14" s="1">
        <f>333+183</f>
        <v>516</v>
      </c>
      <c r="F14" s="1">
        <f>120+94</f>
        <v>214</v>
      </c>
      <c r="G14" s="1">
        <f>47+48</f>
        <v>95</v>
      </c>
      <c r="H14" s="1">
        <f>37+20</f>
        <v>57</v>
      </c>
      <c r="I14" s="1">
        <f>12+8</f>
        <v>20</v>
      </c>
      <c r="J14" s="1">
        <v>3</v>
      </c>
      <c r="K14" s="1">
        <f t="shared" si="0"/>
        <v>3371</v>
      </c>
      <c r="L14" s="1">
        <f>SUM(K14:K16)</f>
        <v>7389</v>
      </c>
    </row>
    <row r="15" spans="1:12" x14ac:dyDescent="0.3">
      <c r="A15" s="1" t="s">
        <v>17</v>
      </c>
      <c r="B15" s="1" t="s">
        <v>12</v>
      </c>
      <c r="C15" s="1">
        <f>272+200+501+617</f>
        <v>1590</v>
      </c>
      <c r="D15" s="1">
        <f>394+499</f>
        <v>893</v>
      </c>
      <c r="E15" s="1">
        <f>506+325</f>
        <v>831</v>
      </c>
      <c r="F15" s="1">
        <f>237+138</f>
        <v>375</v>
      </c>
      <c r="G15" s="1">
        <f>96+80</f>
        <v>176</v>
      </c>
      <c r="H15" s="1">
        <f>59+47</f>
        <v>106</v>
      </c>
      <c r="I15" s="1">
        <f>25+13</f>
        <v>38</v>
      </c>
      <c r="J15" s="1">
        <v>9</v>
      </c>
      <c r="K15" s="1">
        <f t="shared" si="0"/>
        <v>4018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f t="shared" si="0"/>
        <v>0</v>
      </c>
      <c r="L16" s="1"/>
    </row>
    <row r="17" spans="1:12" x14ac:dyDescent="0.3">
      <c r="A17" s="1" t="s">
        <v>18</v>
      </c>
      <c r="B17" s="1" t="s">
        <v>11</v>
      </c>
      <c r="C17" s="1">
        <f>307+332+487+520</f>
        <v>1646</v>
      </c>
      <c r="D17" s="1">
        <f>307+591</f>
        <v>898</v>
      </c>
      <c r="E17" s="1">
        <f>602+389</f>
        <v>991</v>
      </c>
      <c r="F17" s="1">
        <f>215+203</f>
        <v>418</v>
      </c>
      <c r="G17" s="1">
        <f>117+112</f>
        <v>229</v>
      </c>
      <c r="H17" s="1">
        <f>72+67</f>
        <v>139</v>
      </c>
      <c r="I17" s="1">
        <f>49+31</f>
        <v>80</v>
      </c>
      <c r="J17" s="1">
        <v>24</v>
      </c>
      <c r="K17" s="1">
        <f t="shared" si="0"/>
        <v>4425</v>
      </c>
      <c r="L17" s="1">
        <f>SUM(K17:K19)</f>
        <v>10847</v>
      </c>
    </row>
    <row r="18" spans="1:12" x14ac:dyDescent="0.3">
      <c r="A18" s="1" t="s">
        <v>18</v>
      </c>
      <c r="B18" s="1" t="s">
        <v>12</v>
      </c>
      <c r="C18" s="1">
        <f>288+310+478+520</f>
        <v>1596</v>
      </c>
      <c r="D18" s="1">
        <f>487+919</f>
        <v>1406</v>
      </c>
      <c r="E18" s="1">
        <f>973+729</f>
        <v>1702</v>
      </c>
      <c r="F18" s="1">
        <f>466+290</f>
        <v>756</v>
      </c>
      <c r="G18" s="1">
        <f>247+222</f>
        <v>469</v>
      </c>
      <c r="H18" s="1">
        <f>191+149</f>
        <v>340</v>
      </c>
      <c r="I18" s="1">
        <f>84+52</f>
        <v>136</v>
      </c>
      <c r="J18" s="1">
        <v>17</v>
      </c>
      <c r="K18" s="1">
        <f t="shared" si="0"/>
        <v>6422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f t="shared" si="0"/>
        <v>0</v>
      </c>
      <c r="L19" s="1"/>
    </row>
    <row r="20" spans="1:12" x14ac:dyDescent="0.3">
      <c r="A20" s="1" t="s">
        <v>19</v>
      </c>
      <c r="B20" s="1" t="s">
        <v>11</v>
      </c>
      <c r="C20" s="1">
        <f>117+278+407+537</f>
        <v>1339</v>
      </c>
      <c r="D20" s="1">
        <f>321+464</f>
        <v>785</v>
      </c>
      <c r="E20" s="1">
        <f>503+342</f>
        <v>845</v>
      </c>
      <c r="F20" s="1">
        <f>270+183</f>
        <v>453</v>
      </c>
      <c r="G20" s="1">
        <f>124+91</f>
        <v>215</v>
      </c>
      <c r="H20" s="1">
        <f>126+113</f>
        <v>239</v>
      </c>
      <c r="I20" s="1">
        <f>73+40</f>
        <v>113</v>
      </c>
      <c r="J20" s="1">
        <v>27</v>
      </c>
      <c r="K20" s="1">
        <f t="shared" si="0"/>
        <v>4016</v>
      </c>
      <c r="L20" s="1">
        <f>SUM(K20:K22)</f>
        <v>9177</v>
      </c>
    </row>
    <row r="21" spans="1:12" x14ac:dyDescent="0.3">
      <c r="A21" s="1" t="s">
        <v>19</v>
      </c>
      <c r="B21" s="1" t="s">
        <v>12</v>
      </c>
      <c r="C21" s="1">
        <f>101+241+454+557</f>
        <v>1353</v>
      </c>
      <c r="D21" s="1">
        <f>437+629</f>
        <v>1066</v>
      </c>
      <c r="E21" s="1">
        <f>657+529</f>
        <v>1186</v>
      </c>
      <c r="F21" s="1">
        <f>359+245</f>
        <v>604</v>
      </c>
      <c r="G21" s="1">
        <f>197+192</f>
        <v>389</v>
      </c>
      <c r="H21" s="1">
        <f>229+151</f>
        <v>380</v>
      </c>
      <c r="I21" s="1">
        <f>101+56</f>
        <v>157</v>
      </c>
      <c r="J21" s="1">
        <v>26</v>
      </c>
      <c r="K21" s="1">
        <f t="shared" si="0"/>
        <v>5161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f t="shared" si="0"/>
        <v>0</v>
      </c>
      <c r="L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7118-4B1A-4E9B-AA8D-F93810E47005}">
  <sheetPr>
    <outlinePr summaryBelow="0" summaryRight="0"/>
  </sheetPr>
  <dimension ref="A1:L22"/>
  <sheetViews>
    <sheetView topLeftCell="A11" workbookViewId="0">
      <selection activeCell="C30" sqref="C30"/>
    </sheetView>
  </sheetViews>
  <sheetFormatPr baseColWidth="10" defaultColWidth="14.44140625" defaultRowHeight="15" customHeight="1" x14ac:dyDescent="0.3"/>
  <cols>
    <col min="1" max="16384" width="14.44140625" style="3"/>
  </cols>
  <sheetData>
    <row r="1" spans="1:12" x14ac:dyDescent="0.3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">
      <c r="A2" s="2" t="s">
        <v>10</v>
      </c>
      <c r="B2" s="2" t="s">
        <v>11</v>
      </c>
      <c r="C2" s="2">
        <f>1956+4996+6971+7484</f>
        <v>21407</v>
      </c>
      <c r="D2" s="2">
        <f>5515+3873</f>
        <v>9388</v>
      </c>
      <c r="E2" s="2">
        <f>2312+1427</f>
        <v>3739</v>
      </c>
      <c r="F2" s="2">
        <f>1013+790</f>
        <v>1803</v>
      </c>
      <c r="G2" s="2">
        <f>671+531</f>
        <v>1202</v>
      </c>
      <c r="H2" s="2">
        <f>447+356</f>
        <v>803</v>
      </c>
      <c r="I2" s="2">
        <f>211+109</f>
        <v>320</v>
      </c>
      <c r="J2" s="2">
        <v>83</v>
      </c>
      <c r="K2" s="2">
        <f t="shared" ref="K2:K21" si="0">SUM(C2:J2)</f>
        <v>38745</v>
      </c>
      <c r="L2" s="2">
        <f>SUM(K2:K4)</f>
        <v>89932</v>
      </c>
    </row>
    <row r="3" spans="1:12" x14ac:dyDescent="0.3">
      <c r="A3" s="2" t="s">
        <v>10</v>
      </c>
      <c r="B3" s="2" t="s">
        <v>12</v>
      </c>
      <c r="C3" s="2">
        <f>1858+4767+6557+6780</f>
        <v>19962</v>
      </c>
      <c r="D3" s="2">
        <f>5245+6491</f>
        <v>11736</v>
      </c>
      <c r="E3" s="2">
        <f>5142+3735</f>
        <v>8877</v>
      </c>
      <c r="F3" s="2">
        <f>3015+2443</f>
        <v>5458</v>
      </c>
      <c r="G3" s="2">
        <f>1799+1368</f>
        <v>3167</v>
      </c>
      <c r="H3" s="2">
        <f>900+517</f>
        <v>1417</v>
      </c>
      <c r="I3" s="2">
        <f>302+125</f>
        <v>427</v>
      </c>
      <c r="J3" s="2">
        <v>135</v>
      </c>
      <c r="K3" s="2">
        <f t="shared" si="0"/>
        <v>51179</v>
      </c>
      <c r="L3" s="2"/>
    </row>
    <row r="4" spans="1:12" x14ac:dyDescent="0.3">
      <c r="A4" s="2" t="s">
        <v>10</v>
      </c>
      <c r="B4" s="2" t="s">
        <v>13</v>
      </c>
      <c r="C4" s="2"/>
      <c r="D4" s="2"/>
      <c r="E4" s="2"/>
      <c r="F4" s="2"/>
      <c r="G4" s="2"/>
      <c r="H4" s="2"/>
      <c r="I4" s="2"/>
      <c r="J4" s="2"/>
      <c r="K4" s="2">
        <v>8</v>
      </c>
      <c r="L4" s="2"/>
    </row>
    <row r="5" spans="1:12" x14ac:dyDescent="0.3">
      <c r="A5" s="2" t="s">
        <v>14</v>
      </c>
      <c r="B5" s="2" t="s">
        <v>11</v>
      </c>
      <c r="C5" s="2">
        <f>186+376+365+521</f>
        <v>1448</v>
      </c>
      <c r="D5" s="2">
        <f>825+999</f>
        <v>1824</v>
      </c>
      <c r="E5" s="2">
        <f>1162+759</f>
        <v>1921</v>
      </c>
      <c r="F5" s="2">
        <f>770+772</f>
        <v>1542</v>
      </c>
      <c r="G5" s="2">
        <f>690+540</f>
        <v>1230</v>
      </c>
      <c r="H5" s="2">
        <f>428+387</f>
        <v>815</v>
      </c>
      <c r="I5" s="2">
        <f>234+145</f>
        <v>379</v>
      </c>
      <c r="J5" s="2">
        <v>136</v>
      </c>
      <c r="K5" s="2">
        <f t="shared" si="0"/>
        <v>9295</v>
      </c>
      <c r="L5" s="2">
        <f>SUM(K5:K7)</f>
        <v>17937</v>
      </c>
    </row>
    <row r="6" spans="1:12" x14ac:dyDescent="0.3">
      <c r="A6" s="2" t="s">
        <v>14</v>
      </c>
      <c r="B6" s="2" t="s">
        <v>12</v>
      </c>
      <c r="C6" s="2">
        <f>161+423+365+562</f>
        <v>1511</v>
      </c>
      <c r="D6" s="2">
        <f>625+629</f>
        <v>1254</v>
      </c>
      <c r="E6" s="2">
        <f>763+568</f>
        <v>1331</v>
      </c>
      <c r="F6" s="2">
        <f>579+677</f>
        <v>1256</v>
      </c>
      <c r="G6" s="2">
        <f>687+645</f>
        <v>1332</v>
      </c>
      <c r="H6" s="2">
        <f>545+481</f>
        <v>1026</v>
      </c>
      <c r="I6" s="2">
        <f>361+296</f>
        <v>657</v>
      </c>
      <c r="J6" s="2">
        <v>272</v>
      </c>
      <c r="K6" s="2">
        <f t="shared" si="0"/>
        <v>8639</v>
      </c>
      <c r="L6" s="2"/>
    </row>
    <row r="7" spans="1:12" x14ac:dyDescent="0.3">
      <c r="A7" s="2" t="s">
        <v>14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>
        <v>3</v>
      </c>
      <c r="L7" s="2"/>
    </row>
    <row r="8" spans="1:12" x14ac:dyDescent="0.3">
      <c r="A8" s="2" t="s">
        <v>15</v>
      </c>
      <c r="B8" s="2" t="s">
        <v>11</v>
      </c>
      <c r="C8" s="2">
        <f>1453+2781+3323+2549</f>
        <v>10106</v>
      </c>
      <c r="D8" s="2">
        <f>1216+1761</f>
        <v>2977</v>
      </c>
      <c r="E8" s="2">
        <f>1567+1071</f>
        <v>2638</v>
      </c>
      <c r="F8" s="2">
        <f>740+521</f>
        <v>1261</v>
      </c>
      <c r="G8" s="2">
        <f>294+273</f>
        <v>567</v>
      </c>
      <c r="H8" s="2">
        <f>272+231</f>
        <v>503</v>
      </c>
      <c r="I8" s="2">
        <f>130+62</f>
        <v>192</v>
      </c>
      <c r="J8" s="2">
        <v>53</v>
      </c>
      <c r="K8" s="2">
        <f t="shared" si="0"/>
        <v>18297</v>
      </c>
      <c r="L8" s="2">
        <f>SUM(K8:K10)</f>
        <v>38512</v>
      </c>
    </row>
    <row r="9" spans="1:12" x14ac:dyDescent="0.3">
      <c r="A9" s="2" t="s">
        <v>15</v>
      </c>
      <c r="B9" s="2" t="s">
        <v>12</v>
      </c>
      <c r="C9" s="2">
        <f>1420+2846+3318+2883</f>
        <v>10467</v>
      </c>
      <c r="D9" s="2">
        <f>1505+1923</f>
        <v>3428</v>
      </c>
      <c r="E9" s="2">
        <f>1687+1256</f>
        <v>2943</v>
      </c>
      <c r="F9" s="2">
        <f>897+660</f>
        <v>1557</v>
      </c>
      <c r="G9" s="2">
        <f>432+473</f>
        <v>905</v>
      </c>
      <c r="H9" s="2">
        <f>395+241</f>
        <v>636</v>
      </c>
      <c r="I9" s="2">
        <f>148+80</f>
        <v>228</v>
      </c>
      <c r="J9" s="2">
        <v>50</v>
      </c>
      <c r="K9" s="2">
        <f t="shared" si="0"/>
        <v>20214</v>
      </c>
      <c r="L9" s="2"/>
    </row>
    <row r="10" spans="1:12" x14ac:dyDescent="0.3">
      <c r="A10" s="2" t="s">
        <v>15</v>
      </c>
      <c r="B10" s="2" t="s">
        <v>13</v>
      </c>
      <c r="C10" s="2"/>
      <c r="D10" s="2"/>
      <c r="E10" s="2"/>
      <c r="F10" s="2"/>
      <c r="G10" s="2"/>
      <c r="H10" s="2"/>
      <c r="I10" s="2"/>
      <c r="J10" s="2"/>
      <c r="K10" s="2">
        <v>1</v>
      </c>
      <c r="L10" s="2"/>
    </row>
    <row r="11" spans="1:12" x14ac:dyDescent="0.3">
      <c r="A11" s="2" t="s">
        <v>16</v>
      </c>
      <c r="B11" s="2" t="s">
        <v>11</v>
      </c>
      <c r="C11" s="2">
        <f>127+352+922+1321</f>
        <v>2722</v>
      </c>
      <c r="D11" s="2">
        <f>628+793</f>
        <v>1421</v>
      </c>
      <c r="E11" s="2">
        <f>462+281</f>
        <v>743</v>
      </c>
      <c r="F11" s="2">
        <f>173+120</f>
        <v>293</v>
      </c>
      <c r="G11" s="2">
        <f>67+72</f>
        <v>139</v>
      </c>
      <c r="H11" s="2">
        <f>51+46</f>
        <v>97</v>
      </c>
      <c r="I11" s="2">
        <f>30+11</f>
        <v>41</v>
      </c>
      <c r="J11" s="2">
        <v>12</v>
      </c>
      <c r="K11" s="2">
        <f t="shared" si="0"/>
        <v>5468</v>
      </c>
      <c r="L11" s="2">
        <f>SUM(K11:K13)</f>
        <v>11744</v>
      </c>
    </row>
    <row r="12" spans="1:12" x14ac:dyDescent="0.3">
      <c r="A12" s="2" t="s">
        <v>16</v>
      </c>
      <c r="B12" s="2" t="s">
        <v>12</v>
      </c>
      <c r="C12" s="2">
        <f>146+282+880+1209</f>
        <v>2517</v>
      </c>
      <c r="D12" s="2">
        <f>607+848</f>
        <v>1455</v>
      </c>
      <c r="E12" s="2">
        <f>726+493</f>
        <v>1219</v>
      </c>
      <c r="F12" s="2">
        <f>301+190</f>
        <v>491</v>
      </c>
      <c r="G12" s="2">
        <f>155+136</f>
        <v>291</v>
      </c>
      <c r="H12" s="2">
        <f>115+88</f>
        <v>203</v>
      </c>
      <c r="I12" s="2">
        <f>59+22</f>
        <v>81</v>
      </c>
      <c r="J12" s="2">
        <v>19</v>
      </c>
      <c r="K12" s="2">
        <f t="shared" si="0"/>
        <v>6276</v>
      </c>
      <c r="L12" s="2"/>
    </row>
    <row r="13" spans="1:12" x14ac:dyDescent="0.3">
      <c r="A13" s="2" t="s">
        <v>16</v>
      </c>
      <c r="B13" s="2" t="s">
        <v>13</v>
      </c>
      <c r="C13" s="2"/>
      <c r="D13" s="2"/>
      <c r="E13" s="2"/>
      <c r="F13" s="2"/>
      <c r="G13" s="2"/>
      <c r="H13" s="2"/>
      <c r="I13" s="2"/>
      <c r="J13" s="2"/>
      <c r="K13" s="2">
        <f t="shared" si="0"/>
        <v>0</v>
      </c>
      <c r="L13" s="2"/>
    </row>
    <row r="14" spans="1:12" x14ac:dyDescent="0.3">
      <c r="A14" s="2" t="s">
        <v>17</v>
      </c>
      <c r="B14" s="2" t="s">
        <v>11</v>
      </c>
      <c r="C14" s="2">
        <f>300+197+385+532</f>
        <v>1414</v>
      </c>
      <c r="D14" s="2">
        <f>301+447</f>
        <v>748</v>
      </c>
      <c r="E14" s="2">
        <f>265+147</f>
        <v>412</v>
      </c>
      <c r="F14" s="2">
        <f>97+77</f>
        <v>174</v>
      </c>
      <c r="G14" s="2">
        <f>32+32</f>
        <v>64</v>
      </c>
      <c r="H14" s="2">
        <f>22+17</f>
        <v>39</v>
      </c>
      <c r="I14" s="2">
        <f>12+5</f>
        <v>17</v>
      </c>
      <c r="J14" s="2">
        <v>6</v>
      </c>
      <c r="K14" s="2">
        <f t="shared" si="0"/>
        <v>2874</v>
      </c>
      <c r="L14" s="2">
        <f>SUM(K14:K16)</f>
        <v>6213</v>
      </c>
    </row>
    <row r="15" spans="1:12" x14ac:dyDescent="0.3">
      <c r="A15" s="2" t="s">
        <v>17</v>
      </c>
      <c r="B15" s="2" t="s">
        <v>12</v>
      </c>
      <c r="C15" s="2">
        <f>304+167+422+473</f>
        <v>1366</v>
      </c>
      <c r="D15" s="2">
        <f>317+451</f>
        <v>768</v>
      </c>
      <c r="E15" s="2">
        <f>371+280</f>
        <v>651</v>
      </c>
      <c r="F15" s="2">
        <f>195+109</f>
        <v>304</v>
      </c>
      <c r="G15" s="2">
        <f>77+53</f>
        <v>130</v>
      </c>
      <c r="H15" s="2">
        <f>47+30</f>
        <v>77</v>
      </c>
      <c r="I15" s="2">
        <f>20+12</f>
        <v>32</v>
      </c>
      <c r="J15" s="2">
        <v>10</v>
      </c>
      <c r="K15" s="2">
        <f t="shared" si="0"/>
        <v>3338</v>
      </c>
      <c r="L15" s="2"/>
    </row>
    <row r="16" spans="1:12" x14ac:dyDescent="0.3">
      <c r="A16" s="2" t="s">
        <v>17</v>
      </c>
      <c r="B16" s="2" t="s">
        <v>13</v>
      </c>
      <c r="C16" s="2"/>
      <c r="D16" s="2"/>
      <c r="E16" s="2"/>
      <c r="F16" s="2"/>
      <c r="G16" s="2"/>
      <c r="H16" s="2"/>
      <c r="I16" s="2"/>
      <c r="J16" s="2"/>
      <c r="K16" s="2">
        <v>1</v>
      </c>
      <c r="L16" s="2"/>
    </row>
    <row r="17" spans="1:12" x14ac:dyDescent="0.3">
      <c r="A17" s="2" t="s">
        <v>18</v>
      </c>
      <c r="B17" s="2" t="s">
        <v>11</v>
      </c>
      <c r="C17" s="2">
        <f>311+300+548+553</f>
        <v>1712</v>
      </c>
      <c r="D17" s="2">
        <f>311+535</f>
        <v>846</v>
      </c>
      <c r="E17" s="2">
        <f>599+384</f>
        <v>983</v>
      </c>
      <c r="F17" s="2">
        <f>225+162</f>
        <v>387</v>
      </c>
      <c r="G17" s="2">
        <f>122+99</f>
        <v>221</v>
      </c>
      <c r="H17" s="2">
        <f>94+72</f>
        <v>166</v>
      </c>
      <c r="I17" s="2">
        <f>40+19</f>
        <v>59</v>
      </c>
      <c r="J17" s="2">
        <v>15</v>
      </c>
      <c r="K17" s="2">
        <f t="shared" si="0"/>
        <v>4389</v>
      </c>
      <c r="L17" s="2">
        <f>SUM(K17:K19)</f>
        <v>10838</v>
      </c>
    </row>
    <row r="18" spans="1:12" x14ac:dyDescent="0.3">
      <c r="A18" s="2" t="s">
        <v>18</v>
      </c>
      <c r="B18" s="2" t="s">
        <v>12</v>
      </c>
      <c r="C18" s="2">
        <f>315+296+443+545</f>
        <v>1599</v>
      </c>
      <c r="D18" s="2">
        <f>496+876</f>
        <v>1372</v>
      </c>
      <c r="E18" s="2">
        <f>977+781</f>
        <v>1758</v>
      </c>
      <c r="F18" s="2">
        <f>493+320</f>
        <v>813</v>
      </c>
      <c r="G18" s="2">
        <f>243+220</f>
        <v>463</v>
      </c>
      <c r="H18" s="2">
        <f>180+131</f>
        <v>311</v>
      </c>
      <c r="I18" s="2">
        <f>66+47</f>
        <v>113</v>
      </c>
      <c r="J18" s="2">
        <f>20</f>
        <v>20</v>
      </c>
      <c r="K18" s="2">
        <f t="shared" si="0"/>
        <v>6449</v>
      </c>
      <c r="L18" s="2"/>
    </row>
    <row r="19" spans="1:12" x14ac:dyDescent="0.3">
      <c r="A19" s="2" t="s">
        <v>18</v>
      </c>
      <c r="B19" s="2" t="s">
        <v>13</v>
      </c>
      <c r="C19" s="2"/>
      <c r="D19" s="2"/>
      <c r="E19" s="2"/>
      <c r="F19" s="2"/>
      <c r="G19" s="2"/>
      <c r="H19" s="2"/>
      <c r="I19" s="2"/>
      <c r="J19" s="2"/>
      <c r="K19" s="2">
        <f t="shared" si="0"/>
        <v>0</v>
      </c>
      <c r="L19" s="2"/>
    </row>
    <row r="20" spans="1:12" x14ac:dyDescent="0.3">
      <c r="A20" s="2" t="s">
        <v>19</v>
      </c>
      <c r="B20" s="2" t="s">
        <v>11</v>
      </c>
      <c r="C20" s="2">
        <f>105+243+352+465</f>
        <v>1165</v>
      </c>
      <c r="D20" s="2">
        <f>270+433</f>
        <v>703</v>
      </c>
      <c r="E20" s="2">
        <f>414+317</f>
        <v>731</v>
      </c>
      <c r="F20" s="2">
        <f>217+147</f>
        <v>364</v>
      </c>
      <c r="G20" s="2">
        <f>113+85</f>
        <v>198</v>
      </c>
      <c r="H20" s="2">
        <f>97+95</f>
        <v>192</v>
      </c>
      <c r="I20" s="2">
        <f>71+37</f>
        <v>108</v>
      </c>
      <c r="J20" s="2">
        <v>34</v>
      </c>
      <c r="K20" s="2">
        <f t="shared" si="0"/>
        <v>3495</v>
      </c>
      <c r="L20" s="2">
        <f>SUM(K20:K22)</f>
        <v>8066</v>
      </c>
    </row>
    <row r="21" spans="1:12" x14ac:dyDescent="0.3">
      <c r="A21" s="2" t="s">
        <v>19</v>
      </c>
      <c r="B21" s="2" t="s">
        <v>12</v>
      </c>
      <c r="C21" s="2">
        <f>103+228+364+477</f>
        <v>1172</v>
      </c>
      <c r="D21" s="2">
        <f>391+551</f>
        <v>942</v>
      </c>
      <c r="E21" s="2">
        <f>585+471</f>
        <v>1056</v>
      </c>
      <c r="F21" s="2">
        <f>330+235</f>
        <v>565</v>
      </c>
      <c r="G21" s="2">
        <f>213+156</f>
        <v>369</v>
      </c>
      <c r="H21" s="2">
        <f>179+138</f>
        <v>317</v>
      </c>
      <c r="I21" s="2">
        <f>91+38</f>
        <v>129</v>
      </c>
      <c r="J21" s="2">
        <v>20</v>
      </c>
      <c r="K21" s="2">
        <f t="shared" si="0"/>
        <v>4570</v>
      </c>
      <c r="L21" s="2"/>
    </row>
    <row r="22" spans="1:12" x14ac:dyDescent="0.3">
      <c r="A22" s="2" t="s">
        <v>19</v>
      </c>
      <c r="B22" s="2" t="s">
        <v>13</v>
      </c>
      <c r="C22" s="2"/>
      <c r="D22" s="2"/>
      <c r="E22" s="2"/>
      <c r="F22" s="2"/>
      <c r="G22" s="2"/>
      <c r="H22" s="2"/>
      <c r="I22" s="2"/>
      <c r="J22" s="2"/>
      <c r="K22" s="2">
        <v>1</v>
      </c>
      <c r="L22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4FBB-2A5C-407F-B17C-E851509D83EF}">
  <sheetPr>
    <outlinePr summaryBelow="0" summaryRight="0"/>
  </sheetPr>
  <dimension ref="A1:L22"/>
  <sheetViews>
    <sheetView workbookViewId="0">
      <selection activeCell="B27" sqref="B27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2351+7511+12702+12621</f>
        <v>35185</v>
      </c>
      <c r="D2" s="1">
        <f>11076+9130</f>
        <v>20206</v>
      </c>
      <c r="E2" s="1">
        <f>4547+2522</f>
        <v>7069</v>
      </c>
      <c r="F2" s="1">
        <f>1675+1204</f>
        <v>2879</v>
      </c>
      <c r="G2" s="1">
        <f>1029+968</f>
        <v>1997</v>
      </c>
      <c r="H2" s="1">
        <f>989+761</f>
        <v>1750</v>
      </c>
      <c r="I2" s="1">
        <f>459+227</f>
        <v>686</v>
      </c>
      <c r="J2" s="1">
        <f>161</f>
        <v>161</v>
      </c>
      <c r="K2" s="1">
        <f t="shared" ref="K2:K21" si="0">SUM(C2:J2)</f>
        <v>69933</v>
      </c>
      <c r="L2" s="1">
        <f>SUM(K2:K4)</f>
        <v>163572</v>
      </c>
    </row>
    <row r="3" spans="1:12" x14ac:dyDescent="0.3">
      <c r="A3" s="1" t="s">
        <v>10</v>
      </c>
      <c r="B3" s="1" t="s">
        <v>12</v>
      </c>
      <c r="C3" s="1">
        <f>2406+7135+11896+11264</f>
        <v>32701</v>
      </c>
      <c r="D3" s="1">
        <f>9976+13794</f>
        <v>23770</v>
      </c>
      <c r="E3" s="1">
        <f>11179+7243</f>
        <v>18422</v>
      </c>
      <c r="F3" s="1">
        <f>5105+3879</f>
        <v>8984</v>
      </c>
      <c r="G3" s="1">
        <f>3115+2585</f>
        <v>5700</v>
      </c>
      <c r="H3" s="1">
        <f>1832+1171</f>
        <v>3003</v>
      </c>
      <c r="I3" s="1">
        <f>564+271</f>
        <v>835</v>
      </c>
      <c r="J3" s="1">
        <f>196</f>
        <v>196</v>
      </c>
      <c r="K3" s="1">
        <f t="shared" si="0"/>
        <v>93611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v>28</v>
      </c>
      <c r="L4" s="1"/>
    </row>
    <row r="5" spans="1:12" x14ac:dyDescent="0.3">
      <c r="A5" s="1" t="s">
        <v>14</v>
      </c>
      <c r="B5" s="1" t="s">
        <v>11</v>
      </c>
      <c r="C5" s="1">
        <f>197+578+585+754</f>
        <v>2114</v>
      </c>
      <c r="D5" s="1">
        <f>1404+2139</f>
        <v>3543</v>
      </c>
      <c r="E5" s="1">
        <f>2528+1435</f>
        <v>3963</v>
      </c>
      <c r="F5" s="1">
        <f>1228+1117</f>
        <v>2345</v>
      </c>
      <c r="G5" s="1">
        <f>938+725</f>
        <v>1663</v>
      </c>
      <c r="H5" s="1">
        <f>492+403</f>
        <v>895</v>
      </c>
      <c r="I5" s="1">
        <f>305+153</f>
        <v>458</v>
      </c>
      <c r="J5" s="1">
        <v>132</v>
      </c>
      <c r="K5" s="1">
        <f t="shared" si="0"/>
        <v>15113</v>
      </c>
      <c r="L5" s="1">
        <f>SUM(K5:K7)</f>
        <v>26466</v>
      </c>
    </row>
    <row r="6" spans="1:12" x14ac:dyDescent="0.3">
      <c r="A6" s="1" t="s">
        <v>14</v>
      </c>
      <c r="B6" s="1" t="s">
        <v>12</v>
      </c>
      <c r="C6" s="1">
        <f>211+560+508+616</f>
        <v>1895</v>
      </c>
      <c r="D6" s="1">
        <f>1031+1182</f>
        <v>2213</v>
      </c>
      <c r="E6" s="1">
        <f>1319+870</f>
        <v>2189</v>
      </c>
      <c r="F6" s="1">
        <f>831+810</f>
        <v>1641</v>
      </c>
      <c r="G6" s="1">
        <f>796+758</f>
        <v>1554</v>
      </c>
      <c r="H6" s="1">
        <f>548+486</f>
        <v>1034</v>
      </c>
      <c r="I6" s="1">
        <f>353+217</f>
        <v>570</v>
      </c>
      <c r="J6" s="1">
        <f>254</f>
        <v>254</v>
      </c>
      <c r="K6" s="1">
        <f t="shared" si="0"/>
        <v>11350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3</v>
      </c>
      <c r="L7" s="1"/>
    </row>
    <row r="8" spans="1:12" x14ac:dyDescent="0.3">
      <c r="A8" s="1" t="s">
        <v>15</v>
      </c>
      <c r="B8" s="1" t="s">
        <v>11</v>
      </c>
      <c r="C8" s="1">
        <f>941+1777+2014+2827</f>
        <v>7559</v>
      </c>
      <c r="D8" s="1">
        <f>1665+2506</f>
        <v>4171</v>
      </c>
      <c r="E8" s="1">
        <f>2275+1538</f>
        <v>3813</v>
      </c>
      <c r="F8" s="1">
        <f>982+735</f>
        <v>1717</v>
      </c>
      <c r="G8" s="1">
        <f>445+396</f>
        <v>841</v>
      </c>
      <c r="H8" s="1">
        <f>268+222</f>
        <v>490</v>
      </c>
      <c r="I8" s="1">
        <f>114+60</f>
        <v>174</v>
      </c>
      <c r="J8" s="1">
        <v>38</v>
      </c>
      <c r="K8" s="1">
        <f t="shared" si="0"/>
        <v>18803</v>
      </c>
      <c r="L8" s="1">
        <f>SUM(K8:K10)</f>
        <v>39604</v>
      </c>
    </row>
    <row r="9" spans="1:12" x14ac:dyDescent="0.3">
      <c r="A9" s="1" t="s">
        <v>15</v>
      </c>
      <c r="B9" s="1" t="s">
        <v>12</v>
      </c>
      <c r="C9" s="1">
        <f>927+1704+2050+2959</f>
        <v>7640</v>
      </c>
      <c r="D9" s="1">
        <f>1986+2759</f>
        <v>4745</v>
      </c>
      <c r="E9" s="1">
        <f>2354+1702</f>
        <v>4056</v>
      </c>
      <c r="F9" s="1">
        <f>1285+874</f>
        <v>2159</v>
      </c>
      <c r="G9" s="1">
        <f>647+597</f>
        <v>1244</v>
      </c>
      <c r="H9" s="1">
        <f>431+282</f>
        <v>713</v>
      </c>
      <c r="I9" s="1">
        <f>126+66</f>
        <v>192</v>
      </c>
      <c r="J9" s="1">
        <f>50</f>
        <v>50</v>
      </c>
      <c r="K9" s="1">
        <f t="shared" si="0"/>
        <v>20799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v>2</v>
      </c>
      <c r="L10" s="1"/>
    </row>
    <row r="11" spans="1:12" x14ac:dyDescent="0.3">
      <c r="A11" s="1" t="s">
        <v>16</v>
      </c>
      <c r="B11" s="1" t="s">
        <v>11</v>
      </c>
      <c r="C11" s="1">
        <f>218+331+912+1611</f>
        <v>3072</v>
      </c>
      <c r="D11" s="1">
        <f>998+1470</f>
        <v>2468</v>
      </c>
      <c r="E11" s="1">
        <f>827+442</f>
        <v>1269</v>
      </c>
      <c r="F11" s="1">
        <f>251+151</f>
        <v>402</v>
      </c>
      <c r="G11" s="1">
        <f>114+132</f>
        <v>246</v>
      </c>
      <c r="H11" s="1">
        <f>114+134</f>
        <v>248</v>
      </c>
      <c r="I11" s="1">
        <f>77+54</f>
        <v>131</v>
      </c>
      <c r="J11" s="1">
        <f>44</f>
        <v>44</v>
      </c>
      <c r="K11" s="1">
        <f t="shared" si="0"/>
        <v>7880</v>
      </c>
      <c r="L11" s="1">
        <f>SUM(K11:K13)</f>
        <v>17903</v>
      </c>
    </row>
    <row r="12" spans="1:12" x14ac:dyDescent="0.3">
      <c r="A12" s="1" t="s">
        <v>16</v>
      </c>
      <c r="B12" s="1" t="s">
        <v>12</v>
      </c>
      <c r="C12" s="1">
        <f>191+301+931+1556</f>
        <v>2979</v>
      </c>
      <c r="D12" s="1">
        <f>992+1555</f>
        <v>2547</v>
      </c>
      <c r="E12" s="1">
        <f>1250+820</f>
        <v>2070</v>
      </c>
      <c r="F12" s="1">
        <f>504+311</f>
        <v>815</v>
      </c>
      <c r="G12" s="1">
        <f>281+331</f>
        <v>612</v>
      </c>
      <c r="H12" s="1">
        <f>380+299</f>
        <v>679</v>
      </c>
      <c r="I12" s="1">
        <f>175+91</f>
        <v>266</v>
      </c>
      <c r="J12" s="1">
        <v>51</v>
      </c>
      <c r="K12" s="1">
        <f t="shared" si="0"/>
        <v>10019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4</v>
      </c>
      <c r="L13" s="1"/>
    </row>
    <row r="14" spans="1:12" x14ac:dyDescent="0.3">
      <c r="A14" s="1" t="s">
        <v>17</v>
      </c>
      <c r="B14" s="1" t="s">
        <v>11</v>
      </c>
      <c r="C14" s="1">
        <f>316+180+520+714</f>
        <v>1730</v>
      </c>
      <c r="D14" s="1">
        <f>471+687</f>
        <v>1158</v>
      </c>
      <c r="E14" s="1">
        <f>459+242</f>
        <v>701</v>
      </c>
      <c r="F14" s="1">
        <f>164+98</f>
        <v>262</v>
      </c>
      <c r="G14" s="1">
        <f>50+56</f>
        <v>106</v>
      </c>
      <c r="H14" s="1">
        <f>51+38</f>
        <v>89</v>
      </c>
      <c r="I14" s="1">
        <f>23+14</f>
        <v>37</v>
      </c>
      <c r="J14" s="1">
        <v>3</v>
      </c>
      <c r="K14" s="1">
        <f t="shared" si="0"/>
        <v>4086</v>
      </c>
      <c r="L14" s="1">
        <f>SUM(K14:K16)</f>
        <v>8763</v>
      </c>
    </row>
    <row r="15" spans="1:12" x14ac:dyDescent="0.3">
      <c r="A15" s="1" t="s">
        <v>17</v>
      </c>
      <c r="B15" s="1" t="s">
        <v>12</v>
      </c>
      <c r="C15" s="1">
        <f>253+193+466+607</f>
        <v>1519</v>
      </c>
      <c r="D15" s="1">
        <f>498+675</f>
        <v>1173</v>
      </c>
      <c r="E15" s="1">
        <f>631+431</f>
        <v>1062</v>
      </c>
      <c r="F15" s="1">
        <f>306+191</f>
        <v>497</v>
      </c>
      <c r="G15" s="1">
        <f>111+102</f>
        <v>213</v>
      </c>
      <c r="H15" s="1">
        <f>72+63</f>
        <v>135</v>
      </c>
      <c r="I15" s="1">
        <f>49+20</f>
        <v>69</v>
      </c>
      <c r="J15" s="1">
        <v>6</v>
      </c>
      <c r="K15" s="1">
        <f t="shared" si="0"/>
        <v>4674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v>3</v>
      </c>
      <c r="L16" s="1"/>
    </row>
    <row r="17" spans="1:12" x14ac:dyDescent="0.3">
      <c r="A17" s="1" t="s">
        <v>18</v>
      </c>
      <c r="B17" s="1" t="s">
        <v>11</v>
      </c>
      <c r="C17" s="1">
        <f>302+350+651+722</f>
        <v>2025</v>
      </c>
      <c r="D17" s="1">
        <f>406+788</f>
        <v>1194</v>
      </c>
      <c r="E17" s="1">
        <f>921+611</f>
        <v>1532</v>
      </c>
      <c r="F17" s="1">
        <f>389+207</f>
        <v>596</v>
      </c>
      <c r="G17" s="1">
        <f>164+137</f>
        <v>301</v>
      </c>
      <c r="H17" s="1">
        <f>115+73</f>
        <v>188</v>
      </c>
      <c r="I17" s="1">
        <f>61+29</f>
        <v>90</v>
      </c>
      <c r="J17" s="1">
        <f>14</f>
        <v>14</v>
      </c>
      <c r="K17" s="1">
        <f t="shared" si="0"/>
        <v>5940</v>
      </c>
      <c r="L17" s="1">
        <f>SUM(K17:K19)</f>
        <v>14283</v>
      </c>
    </row>
    <row r="18" spans="1:12" x14ac:dyDescent="0.3">
      <c r="A18" s="1" t="s">
        <v>18</v>
      </c>
      <c r="B18" s="1" t="s">
        <v>12</v>
      </c>
      <c r="C18" s="1">
        <f>272+360+579+709</f>
        <v>1920</v>
      </c>
      <c r="D18" s="1">
        <f>607+1039</f>
        <v>1646</v>
      </c>
      <c r="E18" s="1">
        <f>1311+1026</f>
        <v>2337</v>
      </c>
      <c r="F18" s="1">
        <f>637+446</f>
        <v>1083</v>
      </c>
      <c r="G18" s="1">
        <f>366+319</f>
        <v>685</v>
      </c>
      <c r="H18" s="1">
        <f>259+216</f>
        <v>475</v>
      </c>
      <c r="I18" s="1">
        <f>107+64</f>
        <v>171</v>
      </c>
      <c r="J18" s="1">
        <f>26</f>
        <v>26</v>
      </c>
      <c r="K18" s="1">
        <f t="shared" si="0"/>
        <v>8343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f t="shared" si="0"/>
        <v>0</v>
      </c>
      <c r="L19" s="1"/>
    </row>
    <row r="20" spans="1:12" x14ac:dyDescent="0.3">
      <c r="A20" s="1" t="s">
        <v>19</v>
      </c>
      <c r="B20" s="1" t="s">
        <v>11</v>
      </c>
      <c r="C20" s="1">
        <f>137+342+582+692</f>
        <v>1753</v>
      </c>
      <c r="D20" s="1">
        <f>434+749</f>
        <v>1183</v>
      </c>
      <c r="E20" s="1">
        <f>729+573</f>
        <v>1302</v>
      </c>
      <c r="F20" s="1">
        <f>469+312</f>
        <v>781</v>
      </c>
      <c r="G20" s="1">
        <f>181+148</f>
        <v>329</v>
      </c>
      <c r="H20" s="1">
        <f>132+138</f>
        <v>270</v>
      </c>
      <c r="I20" s="1">
        <f>83+33</f>
        <v>116</v>
      </c>
      <c r="J20" s="1">
        <v>30</v>
      </c>
      <c r="K20" s="1">
        <f t="shared" si="0"/>
        <v>5764</v>
      </c>
      <c r="L20" s="1">
        <f>SUM(K20:K22)</f>
        <v>12871</v>
      </c>
    </row>
    <row r="21" spans="1:12" x14ac:dyDescent="0.3">
      <c r="A21" s="1" t="s">
        <v>19</v>
      </c>
      <c r="B21" s="1" t="s">
        <v>12</v>
      </c>
      <c r="C21" s="1">
        <f>135+337+525+696</f>
        <v>1693</v>
      </c>
      <c r="D21" s="1">
        <f>594+970</f>
        <v>1564</v>
      </c>
      <c r="E21" s="1">
        <f>890+812</f>
        <v>1702</v>
      </c>
      <c r="F21" s="1">
        <f>558+362</f>
        <v>920</v>
      </c>
      <c r="G21" s="1">
        <f>311+255</f>
        <v>566</v>
      </c>
      <c r="H21" s="1">
        <f>254+196</f>
        <v>450</v>
      </c>
      <c r="I21" s="1">
        <f>112+67</f>
        <v>179</v>
      </c>
      <c r="J21" s="1">
        <v>31</v>
      </c>
      <c r="K21" s="1">
        <f t="shared" si="0"/>
        <v>7105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v>2</v>
      </c>
      <c r="L22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498E-AD77-4874-9ECF-01D683F681E2}">
  <sheetPr>
    <outlinePr summaryBelow="0" summaryRight="0"/>
  </sheetPr>
  <dimension ref="A1:L22"/>
  <sheetViews>
    <sheetView topLeftCell="A11" workbookViewId="0">
      <selection activeCell="B26" sqref="B26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2305+5805+10231+9829</f>
        <v>28170</v>
      </c>
      <c r="D2" s="1">
        <f>9008+9007</f>
        <v>18015</v>
      </c>
      <c r="E2" s="1">
        <f>4156+2068</f>
        <v>6224</v>
      </c>
      <c r="F2" s="1">
        <f>1283+1082</f>
        <v>2365</v>
      </c>
      <c r="G2" s="1">
        <f>1163+1390</f>
        <v>2553</v>
      </c>
      <c r="H2" s="1">
        <f>1514+1202</f>
        <v>2716</v>
      </c>
      <c r="I2" s="1">
        <f>792+417</f>
        <v>1209</v>
      </c>
      <c r="J2" s="1">
        <v>236</v>
      </c>
      <c r="K2" s="1">
        <f t="shared" ref="K2:K21" si="0">SUM(C2:J2)</f>
        <v>61488</v>
      </c>
      <c r="L2" s="1">
        <f>SUM(K2:K4)</f>
        <v>146865</v>
      </c>
    </row>
    <row r="3" spans="1:12" x14ac:dyDescent="0.3">
      <c r="A3" s="1" t="s">
        <v>10</v>
      </c>
      <c r="B3" s="1" t="s">
        <v>12</v>
      </c>
      <c r="C3" s="1">
        <f>2276+5464+9561+9238</f>
        <v>26539</v>
      </c>
      <c r="D3" s="1">
        <f>8644+13238</f>
        <v>21882</v>
      </c>
      <c r="E3" s="1">
        <f>10223+6319</f>
        <v>16542</v>
      </c>
      <c r="F3" s="1">
        <f>4587+3479</f>
        <v>8066</v>
      </c>
      <c r="G3" s="1">
        <f>3400+3160</f>
        <v>6560</v>
      </c>
      <c r="H3" s="1">
        <f>2620+1659</f>
        <v>4279</v>
      </c>
      <c r="I3" s="1">
        <f>860+375</f>
        <v>1235</v>
      </c>
      <c r="J3" s="1">
        <f>237</f>
        <v>237</v>
      </c>
      <c r="K3" s="1">
        <f t="shared" si="0"/>
        <v>85340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v>37</v>
      </c>
      <c r="L4" s="1"/>
    </row>
    <row r="5" spans="1:12" x14ac:dyDescent="0.3">
      <c r="A5" s="1" t="s">
        <v>14</v>
      </c>
      <c r="B5" s="1" t="s">
        <v>11</v>
      </c>
      <c r="C5" s="1">
        <f>365+1020+983+826</f>
        <v>3194</v>
      </c>
      <c r="D5" s="1">
        <f>1767+3069</f>
        <v>4836</v>
      </c>
      <c r="E5" s="1">
        <f>3840+2199</f>
        <v>6039</v>
      </c>
      <c r="F5" s="1">
        <f>1606+1324</f>
        <v>2930</v>
      </c>
      <c r="G5" s="1">
        <f>1002+601</f>
        <v>1603</v>
      </c>
      <c r="H5" s="1">
        <f>342+245</f>
        <v>587</v>
      </c>
      <c r="I5" s="1">
        <f>174+86</f>
        <v>260</v>
      </c>
      <c r="J5" s="1">
        <v>67</v>
      </c>
      <c r="K5" s="1">
        <f t="shared" si="0"/>
        <v>19516</v>
      </c>
      <c r="L5" s="1">
        <f>SUM(K5:K7)</f>
        <v>33587</v>
      </c>
    </row>
    <row r="6" spans="1:12" x14ac:dyDescent="0.3">
      <c r="A6" s="1" t="s">
        <v>14</v>
      </c>
      <c r="B6" s="1" t="s">
        <v>12</v>
      </c>
      <c r="C6" s="1">
        <f>342+967+867+818</f>
        <v>2994</v>
      </c>
      <c r="D6" s="1">
        <f>1457+1961</f>
        <v>3418</v>
      </c>
      <c r="E6" s="1">
        <f>2076+1320</f>
        <v>3396</v>
      </c>
      <c r="F6" s="1">
        <f>1004+939</f>
        <v>1943</v>
      </c>
      <c r="G6" s="1">
        <f>752+479</f>
        <v>1231</v>
      </c>
      <c r="H6" s="1">
        <f>372+252</f>
        <v>624</v>
      </c>
      <c r="I6" s="1">
        <f>187+128</f>
        <v>315</v>
      </c>
      <c r="J6" s="1">
        <v>135</v>
      </c>
      <c r="K6" s="1">
        <f t="shared" si="0"/>
        <v>14056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>
        <v>15</v>
      </c>
      <c r="K7" s="1">
        <f t="shared" si="0"/>
        <v>15</v>
      </c>
      <c r="L7" s="1"/>
    </row>
    <row r="8" spans="1:12" x14ac:dyDescent="0.3">
      <c r="A8" s="1" t="s">
        <v>15</v>
      </c>
      <c r="B8" s="1" t="s">
        <v>11</v>
      </c>
      <c r="C8" s="1">
        <f>448+906+1100+1863</f>
        <v>4317</v>
      </c>
      <c r="D8" s="1">
        <f>1163+1919</f>
        <v>3082</v>
      </c>
      <c r="E8" s="1">
        <f>1805+1124</f>
        <v>2929</v>
      </c>
      <c r="F8" s="1">
        <f>798+496</f>
        <v>1294</v>
      </c>
      <c r="G8" s="1">
        <f>341+263</f>
        <v>604</v>
      </c>
      <c r="H8" s="1">
        <f>178+124</f>
        <v>302</v>
      </c>
      <c r="I8" s="1">
        <f>73+31</f>
        <v>104</v>
      </c>
      <c r="J8" s="1">
        <v>24</v>
      </c>
      <c r="K8" s="1">
        <f t="shared" si="0"/>
        <v>12656</v>
      </c>
      <c r="L8" s="1">
        <f>SUM(K8:K10)</f>
        <v>27053</v>
      </c>
    </row>
    <row r="9" spans="1:12" x14ac:dyDescent="0.3">
      <c r="A9" s="1" t="s">
        <v>15</v>
      </c>
      <c r="B9" s="1" t="s">
        <v>12</v>
      </c>
      <c r="C9" s="1">
        <f>473+999+1101+1991</f>
        <v>4564</v>
      </c>
      <c r="D9" s="1">
        <f>1490+2107</f>
        <v>3597</v>
      </c>
      <c r="E9" s="1">
        <f>1931+1247</f>
        <v>3178</v>
      </c>
      <c r="F9" s="1">
        <f>879+676</f>
        <v>1555</v>
      </c>
      <c r="G9" s="1">
        <f>531+437</f>
        <v>968</v>
      </c>
      <c r="H9" s="1">
        <f>266+150</f>
        <v>416</v>
      </c>
      <c r="I9" s="1">
        <f>68+32</f>
        <v>100</v>
      </c>
      <c r="J9" s="1">
        <v>16</v>
      </c>
      <c r="K9" s="1">
        <f t="shared" si="0"/>
        <v>14394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v>3</v>
      </c>
      <c r="L10" s="1"/>
    </row>
    <row r="11" spans="1:12" x14ac:dyDescent="0.3">
      <c r="A11" s="1" t="s">
        <v>16</v>
      </c>
      <c r="B11" s="1" t="s">
        <v>11</v>
      </c>
      <c r="C11" s="1">
        <f>222+320+723+1339</f>
        <v>2604</v>
      </c>
      <c r="D11" s="1">
        <f>870+1402</f>
        <v>2272</v>
      </c>
      <c r="E11" s="1">
        <f>883+441</f>
        <v>1324</v>
      </c>
      <c r="F11" s="1">
        <f>299+163</f>
        <v>462</v>
      </c>
      <c r="G11" s="1">
        <f>114+162</f>
        <v>276</v>
      </c>
      <c r="H11" s="1">
        <f>211+232</f>
        <v>443</v>
      </c>
      <c r="I11" s="1">
        <f>158+92</f>
        <v>250</v>
      </c>
      <c r="J11" s="1">
        <v>87</v>
      </c>
      <c r="K11" s="1">
        <f t="shared" si="0"/>
        <v>7718</v>
      </c>
      <c r="L11" s="1">
        <f>SUM(K11:K13)</f>
        <v>17969</v>
      </c>
    </row>
    <row r="12" spans="1:12" x14ac:dyDescent="0.3">
      <c r="A12" s="1" t="s">
        <v>16</v>
      </c>
      <c r="B12" s="1" t="s">
        <v>12</v>
      </c>
      <c r="C12" s="1">
        <f>197+301+707+1278</f>
        <v>2483</v>
      </c>
      <c r="D12" s="1">
        <f>915+1485</f>
        <v>2400</v>
      </c>
      <c r="E12" s="1">
        <f>1196+778</f>
        <v>1974</v>
      </c>
      <c r="F12" s="1">
        <f>476+351</f>
        <v>827</v>
      </c>
      <c r="G12" s="1">
        <f>352+491</f>
        <v>843</v>
      </c>
      <c r="H12" s="1">
        <f>631+520</f>
        <v>1151</v>
      </c>
      <c r="I12" s="1">
        <f>314+167</f>
        <v>481</v>
      </c>
      <c r="J12" s="1">
        <v>88</v>
      </c>
      <c r="K12" s="1">
        <f t="shared" si="0"/>
        <v>10247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4</v>
      </c>
      <c r="L13" s="1"/>
    </row>
    <row r="14" spans="1:12" x14ac:dyDescent="0.3">
      <c r="A14" s="1" t="s">
        <v>17</v>
      </c>
      <c r="B14" s="1" t="s">
        <v>11</v>
      </c>
      <c r="C14" s="1">
        <f>411+156+353+529</f>
        <v>1449</v>
      </c>
      <c r="D14" s="1">
        <f>434+626</f>
        <v>1060</v>
      </c>
      <c r="E14" s="1">
        <f>470+248</f>
        <v>718</v>
      </c>
      <c r="F14" s="1">
        <f>146+93</f>
        <v>239</v>
      </c>
      <c r="G14" s="1">
        <f>55+48</f>
        <v>103</v>
      </c>
      <c r="H14" s="1">
        <f>42+39</f>
        <v>81</v>
      </c>
      <c r="I14" s="1">
        <f>21+12</f>
        <v>33</v>
      </c>
      <c r="J14" s="1">
        <v>5</v>
      </c>
      <c r="K14" s="1">
        <f t="shared" si="0"/>
        <v>3688</v>
      </c>
      <c r="L14" s="1">
        <f>SUM(K14:K16)</f>
        <v>7785</v>
      </c>
    </row>
    <row r="15" spans="1:12" x14ac:dyDescent="0.3">
      <c r="A15" s="1" t="s">
        <v>17</v>
      </c>
      <c r="B15" s="1" t="s">
        <v>12</v>
      </c>
      <c r="C15" s="1">
        <f>425+138+348+440</f>
        <v>1351</v>
      </c>
      <c r="D15" s="1">
        <f>354+585</f>
        <v>939</v>
      </c>
      <c r="E15" s="1">
        <f>512+369</f>
        <v>881</v>
      </c>
      <c r="F15" s="1">
        <f>245+174</f>
        <v>419</v>
      </c>
      <c r="G15" s="1">
        <f>125+113</f>
        <v>238</v>
      </c>
      <c r="H15" s="1">
        <f>92+90</f>
        <v>182</v>
      </c>
      <c r="I15" s="1">
        <f>53+19</f>
        <v>72</v>
      </c>
      <c r="J15" s="1">
        <v>13</v>
      </c>
      <c r="K15" s="1">
        <f t="shared" si="0"/>
        <v>4095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v>2</v>
      </c>
      <c r="L16" s="1"/>
    </row>
    <row r="17" spans="1:12" x14ac:dyDescent="0.3">
      <c r="A17" s="1" t="s">
        <v>18</v>
      </c>
      <c r="B17" s="1" t="s">
        <v>11</v>
      </c>
      <c r="C17" s="1">
        <f>248+330+562+670</f>
        <v>1810</v>
      </c>
      <c r="D17" s="1">
        <f>383+658</f>
        <v>1041</v>
      </c>
      <c r="E17" s="1">
        <f>786+587</f>
        <v>1373</v>
      </c>
      <c r="F17" s="1">
        <f>337+215</f>
        <v>552</v>
      </c>
      <c r="G17" s="1">
        <f>160+144</f>
        <v>304</v>
      </c>
      <c r="H17" s="1">
        <f>123+114</f>
        <v>237</v>
      </c>
      <c r="I17" s="1">
        <f>60+32</f>
        <v>92</v>
      </c>
      <c r="J17" s="1">
        <v>15</v>
      </c>
      <c r="K17" s="1">
        <f t="shared" si="0"/>
        <v>5424</v>
      </c>
      <c r="L17" s="1">
        <f>SUM(K17:K19)</f>
        <v>13004</v>
      </c>
    </row>
    <row r="18" spans="1:12" x14ac:dyDescent="0.3">
      <c r="A18" s="1" t="s">
        <v>18</v>
      </c>
      <c r="B18" s="1" t="s">
        <v>12</v>
      </c>
      <c r="C18" s="1">
        <f>236+319+519+617</f>
        <v>1691</v>
      </c>
      <c r="D18" s="1">
        <f>562+909</f>
        <v>1471</v>
      </c>
      <c r="E18" s="1">
        <f>1151+909</f>
        <v>2060</v>
      </c>
      <c r="F18" s="1">
        <f>633+417</f>
        <v>1050</v>
      </c>
      <c r="G18" s="1">
        <f>331+331</f>
        <v>662</v>
      </c>
      <c r="H18" s="1">
        <f>264+198</f>
        <v>462</v>
      </c>
      <c r="I18" s="1">
        <f>111+44</f>
        <v>155</v>
      </c>
      <c r="J18" s="1">
        <v>21</v>
      </c>
      <c r="K18" s="1">
        <f t="shared" si="0"/>
        <v>7572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8</v>
      </c>
      <c r="L19" s="1"/>
    </row>
    <row r="20" spans="1:12" x14ac:dyDescent="0.3">
      <c r="A20" s="1" t="s">
        <v>19</v>
      </c>
      <c r="B20" s="1" t="s">
        <v>11</v>
      </c>
      <c r="C20" s="1">
        <f>105+322+477+607</f>
        <v>1511</v>
      </c>
      <c r="D20" s="1">
        <f>407+606</f>
        <v>1013</v>
      </c>
      <c r="E20" s="1">
        <f>555+434</f>
        <v>989</v>
      </c>
      <c r="F20" s="1">
        <f>363+246</f>
        <v>609</v>
      </c>
      <c r="G20" s="1">
        <f>179+156</f>
        <v>335</v>
      </c>
      <c r="H20" s="1">
        <f>132+145</f>
        <v>277</v>
      </c>
      <c r="I20" s="1">
        <f>82+44</f>
        <v>126</v>
      </c>
      <c r="J20" s="1">
        <v>31</v>
      </c>
      <c r="K20" s="1">
        <f t="shared" si="0"/>
        <v>4891</v>
      </c>
      <c r="L20" s="1">
        <f>SUM(K20:K22)</f>
        <v>10853</v>
      </c>
    </row>
    <row r="21" spans="1:12" x14ac:dyDescent="0.3">
      <c r="A21" s="1" t="s">
        <v>19</v>
      </c>
      <c r="B21" s="1" t="s">
        <v>12</v>
      </c>
      <c r="C21" s="1">
        <f>127+249+405+572</f>
        <v>1353</v>
      </c>
      <c r="D21" s="1">
        <f>545+751</f>
        <v>1296</v>
      </c>
      <c r="E21" s="1">
        <f>714+638</f>
        <v>1352</v>
      </c>
      <c r="F21" s="1">
        <f>448+316</f>
        <v>764</v>
      </c>
      <c r="G21" s="1">
        <f>277+267</f>
        <v>544</v>
      </c>
      <c r="H21" s="1">
        <f>232+200</f>
        <v>432</v>
      </c>
      <c r="I21" s="1">
        <f>125+56</f>
        <v>181</v>
      </c>
      <c r="J21" s="1">
        <v>37</v>
      </c>
      <c r="K21" s="1">
        <f t="shared" si="0"/>
        <v>5959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v>3</v>
      </c>
      <c r="L2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4ABF-F3CA-48D7-AE92-C38CA6438CCF}">
  <sheetPr>
    <outlinePr summaryBelow="0" summaryRight="0"/>
  </sheetPr>
  <dimension ref="A1:L22"/>
  <sheetViews>
    <sheetView topLeftCell="A5" workbookViewId="0">
      <selection activeCell="A23" sqref="A23:XFD28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2101+4363+8286+8909</f>
        <v>23659</v>
      </c>
      <c r="D2" s="1">
        <f>8224+9067</f>
        <v>17291</v>
      </c>
      <c r="E2" s="1">
        <f>4199+1847</f>
        <v>6046</v>
      </c>
      <c r="F2" s="1">
        <f>1190+1032</f>
        <v>2222</v>
      </c>
      <c r="G2" s="1">
        <f>1118+1440</f>
        <v>2558</v>
      </c>
      <c r="H2" s="1">
        <f>1634+1365</f>
        <v>2999</v>
      </c>
      <c r="I2" s="1">
        <f>834+450</f>
        <v>1284</v>
      </c>
      <c r="J2" s="1">
        <v>214</v>
      </c>
      <c r="K2" s="1">
        <f t="shared" ref="K2:K21" si="0">SUM(C2:J2)</f>
        <v>56273</v>
      </c>
      <c r="L2" s="1">
        <f>SUM(K2:K4)</f>
        <v>131575</v>
      </c>
    </row>
    <row r="3" spans="1:12" x14ac:dyDescent="0.3">
      <c r="A3" s="1" t="s">
        <v>10</v>
      </c>
      <c r="B3" s="1" t="s">
        <v>12</v>
      </c>
      <c r="C3" s="1">
        <f>1961+4051+7739+8356</f>
        <v>22107</v>
      </c>
      <c r="D3" s="1">
        <f>6926+10877</f>
        <v>17803</v>
      </c>
      <c r="E3" s="1">
        <f>9004+5695</f>
        <v>14699</v>
      </c>
      <c r="F3" s="1">
        <f>4128+3302</f>
        <v>7430</v>
      </c>
      <c r="G3" s="1">
        <f>3400+3336</f>
        <v>6736</v>
      </c>
      <c r="H3" s="1">
        <f>2718+1742</f>
        <v>4460</v>
      </c>
      <c r="I3" s="1">
        <f>976+415</f>
        <v>1391</v>
      </c>
      <c r="J3" s="1">
        <f>213</f>
        <v>213</v>
      </c>
      <c r="K3" s="1">
        <f t="shared" si="0"/>
        <v>74839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>126+150+187</f>
        <v>463</v>
      </c>
      <c r="L4" s="1"/>
    </row>
    <row r="5" spans="1:12" x14ac:dyDescent="0.3">
      <c r="A5" s="1" t="s">
        <v>14</v>
      </c>
      <c r="B5" s="1" t="s">
        <v>11</v>
      </c>
      <c r="C5" s="1">
        <f>175+505+535+465</f>
        <v>1680</v>
      </c>
      <c r="D5" s="1">
        <f>809+1554</f>
        <v>2363</v>
      </c>
      <c r="E5" s="1">
        <f>1846+1225</f>
        <v>3071</v>
      </c>
      <c r="F5" s="1">
        <f>768+716</f>
        <v>1484</v>
      </c>
      <c r="G5" s="1">
        <f>509+407</f>
        <v>916</v>
      </c>
      <c r="H5" s="1">
        <f>208+152</f>
        <v>360</v>
      </c>
      <c r="I5" s="1">
        <f>89+58</f>
        <v>147</v>
      </c>
      <c r="J5" s="1">
        <v>46</v>
      </c>
      <c r="K5" s="1">
        <f t="shared" si="0"/>
        <v>10067</v>
      </c>
      <c r="L5" s="1">
        <f>SUM(K5:K7)</f>
        <v>17375</v>
      </c>
    </row>
    <row r="6" spans="1:12" x14ac:dyDescent="0.3">
      <c r="A6" s="1" t="s">
        <v>14</v>
      </c>
      <c r="B6" s="1" t="s">
        <v>12</v>
      </c>
      <c r="C6" s="1">
        <f>164+502+470+416</f>
        <v>1552</v>
      </c>
      <c r="D6" s="1">
        <f>698+998</f>
        <v>1696</v>
      </c>
      <c r="E6" s="1">
        <f>1042+755</f>
        <v>1797</v>
      </c>
      <c r="F6" s="1">
        <f>540+475</f>
        <v>1015</v>
      </c>
      <c r="G6" s="1">
        <f>358+296</f>
        <v>654</v>
      </c>
      <c r="H6" s="1">
        <f>169+138</f>
        <v>307</v>
      </c>
      <c r="I6" s="1">
        <f>110+86</f>
        <v>196</v>
      </c>
      <c r="J6" s="1">
        <v>75</v>
      </c>
      <c r="K6" s="1">
        <f t="shared" si="0"/>
        <v>7292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16</v>
      </c>
      <c r="L7" s="1"/>
    </row>
    <row r="8" spans="1:12" x14ac:dyDescent="0.3">
      <c r="A8" s="1" t="s">
        <v>15</v>
      </c>
      <c r="B8" s="1" t="s">
        <v>11</v>
      </c>
      <c r="C8" s="1">
        <f>389+817+1008+1424</f>
        <v>3638</v>
      </c>
      <c r="D8" s="1">
        <f>788+1159</f>
        <v>1947</v>
      </c>
      <c r="E8" s="1">
        <f>1210+780</f>
        <v>1990</v>
      </c>
      <c r="F8" s="1">
        <f>542+378</f>
        <v>920</v>
      </c>
      <c r="G8" s="1">
        <f>266+228</f>
        <v>494</v>
      </c>
      <c r="H8" s="1">
        <f>191+146</f>
        <v>337</v>
      </c>
      <c r="I8" s="1">
        <f>70+43</f>
        <v>113</v>
      </c>
      <c r="J8" s="1">
        <f>15</f>
        <v>15</v>
      </c>
      <c r="K8" s="1">
        <f t="shared" si="0"/>
        <v>9454</v>
      </c>
      <c r="L8" s="1">
        <f>SUM(K8:K10)</f>
        <v>20387</v>
      </c>
    </row>
    <row r="9" spans="1:12" x14ac:dyDescent="0.3">
      <c r="A9" s="1" t="s">
        <v>15</v>
      </c>
      <c r="B9" s="1" t="s">
        <v>12</v>
      </c>
      <c r="C9" s="1">
        <f>369+827+1047+1455</f>
        <v>3698</v>
      </c>
      <c r="D9" s="1">
        <f>1001+1365</f>
        <v>2366</v>
      </c>
      <c r="E9" s="1">
        <f>1320+903</f>
        <v>2223</v>
      </c>
      <c r="F9" s="1">
        <f>628+558</f>
        <v>1186</v>
      </c>
      <c r="G9" s="1">
        <f>411+327</f>
        <v>738</v>
      </c>
      <c r="H9" s="1">
        <f>277+196</f>
        <v>473</v>
      </c>
      <c r="I9" s="1">
        <f>120+48</f>
        <v>168</v>
      </c>
      <c r="J9" s="1">
        <v>17</v>
      </c>
      <c r="K9" s="1">
        <f t="shared" si="0"/>
        <v>10869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v>64</v>
      </c>
      <c r="L10" s="1"/>
    </row>
    <row r="11" spans="1:12" x14ac:dyDescent="0.3">
      <c r="A11" s="1" t="s">
        <v>16</v>
      </c>
      <c r="B11" s="1" t="s">
        <v>11</v>
      </c>
      <c r="C11" s="1">
        <f>122+204+482+1001</f>
        <v>1809</v>
      </c>
      <c r="D11" s="1">
        <f>677+1120</f>
        <v>1797</v>
      </c>
      <c r="E11" s="1">
        <f>755+385</f>
        <v>1140</v>
      </c>
      <c r="F11" s="1">
        <f>219+148</f>
        <v>367</v>
      </c>
      <c r="G11" s="1">
        <f>147+171</f>
        <v>318</v>
      </c>
      <c r="H11" s="1">
        <f>206+208</f>
        <v>414</v>
      </c>
      <c r="I11" s="1">
        <f>188+97</f>
        <v>285</v>
      </c>
      <c r="J11" s="1">
        <v>57</v>
      </c>
      <c r="K11" s="1">
        <f t="shared" si="0"/>
        <v>6187</v>
      </c>
      <c r="L11" s="1">
        <f>SUM(K11:K13)</f>
        <v>14590</v>
      </c>
    </row>
    <row r="12" spans="1:12" x14ac:dyDescent="0.3">
      <c r="A12" s="1" t="s">
        <v>16</v>
      </c>
      <c r="B12" s="1" t="s">
        <v>12</v>
      </c>
      <c r="C12" s="1">
        <f>102+193+431+957</f>
        <v>1683</v>
      </c>
      <c r="D12" s="1">
        <f>713+1099</f>
        <v>1812</v>
      </c>
      <c r="E12" s="1">
        <f>990+625</f>
        <v>1615</v>
      </c>
      <c r="F12" s="1">
        <f>395+273</f>
        <v>668</v>
      </c>
      <c r="G12" s="1">
        <f>360+490</f>
        <v>850</v>
      </c>
      <c r="H12" s="1">
        <f>548+544</f>
        <v>1092</v>
      </c>
      <c r="I12" s="1">
        <f>365+173</f>
        <v>538</v>
      </c>
      <c r="J12" s="1">
        <f>91</f>
        <v>91</v>
      </c>
      <c r="K12" s="1">
        <f t="shared" si="0"/>
        <v>8349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54</v>
      </c>
      <c r="L13" s="1"/>
    </row>
    <row r="14" spans="1:12" x14ac:dyDescent="0.3">
      <c r="A14" s="1" t="s">
        <v>17</v>
      </c>
      <c r="B14" s="1" t="s">
        <v>11</v>
      </c>
      <c r="C14" s="1">
        <f>487+140+289+499</f>
        <v>1415</v>
      </c>
      <c r="D14" s="1">
        <f>424+565</f>
        <v>989</v>
      </c>
      <c r="E14" s="1">
        <f>418+212</f>
        <v>630</v>
      </c>
      <c r="F14" s="1">
        <f>130+92</f>
        <v>222</v>
      </c>
      <c r="G14" s="1">
        <f>68+52</f>
        <v>120</v>
      </c>
      <c r="H14" s="1">
        <f>66+51</f>
        <v>117</v>
      </c>
      <c r="I14" s="1">
        <f>24+16</f>
        <v>40</v>
      </c>
      <c r="J14" s="1">
        <v>5</v>
      </c>
      <c r="K14" s="1">
        <f t="shared" si="0"/>
        <v>3538</v>
      </c>
      <c r="L14" s="1">
        <f>SUM(K14:K16)</f>
        <v>7759</v>
      </c>
    </row>
    <row r="15" spans="1:12" x14ac:dyDescent="0.3">
      <c r="A15" s="1" t="s">
        <v>17</v>
      </c>
      <c r="B15" s="1" t="s">
        <v>12</v>
      </c>
      <c r="C15" s="1">
        <f>528+163+320+518</f>
        <v>1529</v>
      </c>
      <c r="D15" s="1">
        <f>364+487</f>
        <v>851</v>
      </c>
      <c r="E15" s="1">
        <f>499+325</f>
        <v>824</v>
      </c>
      <c r="F15" s="1">
        <f>225+152</f>
        <v>377</v>
      </c>
      <c r="G15" s="1">
        <f>113+142</f>
        <v>255</v>
      </c>
      <c r="H15" s="1">
        <f>135+98</f>
        <v>233</v>
      </c>
      <c r="I15" s="1">
        <f>60+41</f>
        <v>101</v>
      </c>
      <c r="J15" s="1">
        <v>16</v>
      </c>
      <c r="K15" s="1">
        <f t="shared" si="0"/>
        <v>4186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v>35</v>
      </c>
      <c r="L16" s="1"/>
    </row>
    <row r="17" spans="1:12" x14ac:dyDescent="0.3">
      <c r="A17" s="1" t="s">
        <v>18</v>
      </c>
      <c r="B17" s="1" t="s">
        <v>11</v>
      </c>
      <c r="C17" s="1">
        <f>237+311+459+676</f>
        <v>1683</v>
      </c>
      <c r="D17" s="1">
        <f>370+462</f>
        <v>832</v>
      </c>
      <c r="E17" s="1">
        <f>661+506</f>
        <v>1167</v>
      </c>
      <c r="F17" s="1">
        <f>305+235</f>
        <v>540</v>
      </c>
      <c r="G17" s="1">
        <f>170+125</f>
        <v>295</v>
      </c>
      <c r="H17" s="1">
        <f>109+92</f>
        <v>201</v>
      </c>
      <c r="I17" s="1">
        <f>65+25</f>
        <v>90</v>
      </c>
      <c r="J17" s="1">
        <v>11</v>
      </c>
      <c r="K17" s="1">
        <f t="shared" si="0"/>
        <v>4819</v>
      </c>
      <c r="L17" s="1">
        <f>SUM(K17:K19)</f>
        <v>11836</v>
      </c>
    </row>
    <row r="18" spans="1:12" x14ac:dyDescent="0.3">
      <c r="A18" s="1" t="s">
        <v>18</v>
      </c>
      <c r="B18" s="1" t="s">
        <v>12</v>
      </c>
      <c r="C18" s="1">
        <f>233+324+414+680</f>
        <v>1651</v>
      </c>
      <c r="D18" s="1">
        <f>564+768</f>
        <v>1332</v>
      </c>
      <c r="E18" s="1">
        <f>958+836</f>
        <v>1794</v>
      </c>
      <c r="F18" s="1">
        <f>598+385</f>
        <v>983</v>
      </c>
      <c r="G18" s="1">
        <f>315+311</f>
        <v>626</v>
      </c>
      <c r="H18" s="1">
        <f>251+183</f>
        <v>434</v>
      </c>
      <c r="I18" s="1">
        <f>88+39</f>
        <v>127</v>
      </c>
      <c r="J18" s="1">
        <f>26</f>
        <v>26</v>
      </c>
      <c r="K18" s="1">
        <f t="shared" si="0"/>
        <v>6973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44</v>
      </c>
      <c r="L19" s="1"/>
    </row>
    <row r="20" spans="1:12" x14ac:dyDescent="0.3">
      <c r="A20" s="1" t="s">
        <v>19</v>
      </c>
      <c r="B20" s="1" t="s">
        <v>11</v>
      </c>
      <c r="C20" s="1">
        <f>121+272+395+594</f>
        <v>1382</v>
      </c>
      <c r="D20" s="1">
        <f>362+538</f>
        <v>900</v>
      </c>
      <c r="E20" s="1">
        <f>529+458</f>
        <v>987</v>
      </c>
      <c r="F20" s="1">
        <f>321+235</f>
        <v>556</v>
      </c>
      <c r="G20" s="1">
        <f>151+127</f>
        <v>278</v>
      </c>
      <c r="H20" s="1">
        <f>126+135</f>
        <v>261</v>
      </c>
      <c r="I20" s="1">
        <f>107+43</f>
        <v>150</v>
      </c>
      <c r="J20" s="1">
        <v>29</v>
      </c>
      <c r="K20" s="1">
        <f t="shared" si="0"/>
        <v>4543</v>
      </c>
      <c r="L20" s="1">
        <f>SUM(K20:K22)</f>
        <v>10154</v>
      </c>
    </row>
    <row r="21" spans="1:12" x14ac:dyDescent="0.3">
      <c r="A21" s="1" t="s">
        <v>19</v>
      </c>
      <c r="B21" s="1" t="s">
        <v>12</v>
      </c>
      <c r="C21" s="1">
        <f>121+254+396+506</f>
        <v>1277</v>
      </c>
      <c r="D21" s="1">
        <f>447+660</f>
        <v>1107</v>
      </c>
      <c r="E21" s="1">
        <f>722+613</f>
        <v>1335</v>
      </c>
      <c r="F21" s="1">
        <f>431+300</f>
        <v>731</v>
      </c>
      <c r="G21" s="1">
        <f>255+195</f>
        <v>450</v>
      </c>
      <c r="H21" s="1">
        <f>239+180</f>
        <v>419</v>
      </c>
      <c r="I21" s="1">
        <f>141+67</f>
        <v>208</v>
      </c>
      <c r="J21" s="1">
        <v>33</v>
      </c>
      <c r="K21" s="1">
        <f t="shared" si="0"/>
        <v>5560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f>15+19+17</f>
        <v>51</v>
      </c>
      <c r="L22" s="1"/>
    </row>
  </sheetData>
  <pageMargins left="0.7" right="0.7" top="0.75" bottom="0.75" header="0.3" footer="0.3"/>
  <ignoredErrors>
    <ignoredError sqref="K22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5E26-5BF9-4944-9EC7-BC5F32ADD4F1}">
  <sheetPr>
    <outlinePr summaryBelow="0" summaryRight="0"/>
  </sheetPr>
  <dimension ref="A1:L22"/>
  <sheetViews>
    <sheetView topLeftCell="A5" workbookViewId="0">
      <selection activeCell="C26" sqref="C26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2848+5216+9547+10985</f>
        <v>28596</v>
      </c>
      <c r="D2" s="1">
        <f>6801+7514</f>
        <v>14315</v>
      </c>
      <c r="E2" s="1">
        <f>4268+2131</f>
        <v>6399</v>
      </c>
      <c r="F2" s="1">
        <f>1393+1189</f>
        <v>2582</v>
      </c>
      <c r="G2" s="1">
        <f>1308+1790</f>
        <v>3098</v>
      </c>
      <c r="H2" s="1">
        <f>2116+1892</f>
        <v>4008</v>
      </c>
      <c r="I2" s="1">
        <f>1178+711</f>
        <v>1889</v>
      </c>
      <c r="J2" s="1">
        <f>257</f>
        <v>257</v>
      </c>
      <c r="K2" s="1">
        <f t="shared" ref="K2:K21" si="0">SUM(C2:J2)</f>
        <v>61144</v>
      </c>
      <c r="L2" s="1">
        <f>SUM(K2:K4)</f>
        <v>147573</v>
      </c>
    </row>
    <row r="3" spans="1:12" x14ac:dyDescent="0.3">
      <c r="A3" s="1" t="s">
        <v>10</v>
      </c>
      <c r="B3" s="1" t="s">
        <v>12</v>
      </c>
      <c r="C3" s="1">
        <f>2622+4928+8920+10225</f>
        <v>26695</v>
      </c>
      <c r="D3" s="1">
        <f>6491+9944</f>
        <v>16435</v>
      </c>
      <c r="E3" s="1">
        <f>9336+6659</f>
        <v>15995</v>
      </c>
      <c r="F3" s="1">
        <f>5225+4308</f>
        <v>9533</v>
      </c>
      <c r="G3" s="1">
        <f>4306+4297</f>
        <v>8603</v>
      </c>
      <c r="H3" s="1">
        <f>3753+2583</f>
        <v>6336</v>
      </c>
      <c r="I3" s="1">
        <f>1454+608</f>
        <v>2062</v>
      </c>
      <c r="J3" s="1">
        <f>248</f>
        <v>248</v>
      </c>
      <c r="K3" s="1">
        <f t="shared" si="0"/>
        <v>85907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>181+271+70</f>
        <v>522</v>
      </c>
      <c r="L4" s="1"/>
    </row>
    <row r="5" spans="1:12" x14ac:dyDescent="0.3">
      <c r="A5" s="1" t="s">
        <v>14</v>
      </c>
      <c r="B5" s="1" t="s">
        <v>11</v>
      </c>
      <c r="C5" s="1">
        <f>187+422+459+360</f>
        <v>1428</v>
      </c>
      <c r="D5" s="1">
        <f>523+1004</f>
        <v>1527</v>
      </c>
      <c r="E5" s="1">
        <f>1090+954</f>
        <v>2044</v>
      </c>
      <c r="F5" s="1">
        <f>576+582</f>
        <v>1158</v>
      </c>
      <c r="G5" s="1">
        <f>504+356</f>
        <v>860</v>
      </c>
      <c r="H5" s="1">
        <f>219+161</f>
        <v>380</v>
      </c>
      <c r="I5" s="1">
        <f>91+70</f>
        <v>161</v>
      </c>
      <c r="J5" s="1">
        <v>42</v>
      </c>
      <c r="K5" s="1">
        <f t="shared" si="0"/>
        <v>7600</v>
      </c>
      <c r="L5" s="1">
        <f>SUM(K5:K7)</f>
        <v>14132</v>
      </c>
    </row>
    <row r="6" spans="1:12" x14ac:dyDescent="0.3">
      <c r="A6" s="1" t="s">
        <v>14</v>
      </c>
      <c r="B6" s="1" t="s">
        <v>12</v>
      </c>
      <c r="C6" s="1">
        <f>166+416+449+360</f>
        <v>1391</v>
      </c>
      <c r="D6" s="1">
        <f>552+750</f>
        <v>1302</v>
      </c>
      <c r="E6" s="1">
        <f>755+724</f>
        <v>1479</v>
      </c>
      <c r="F6" s="1">
        <f>535+484</f>
        <v>1019</v>
      </c>
      <c r="G6" s="1">
        <f>366+302</f>
        <v>668</v>
      </c>
      <c r="H6" s="1">
        <f>228+148</f>
        <v>376</v>
      </c>
      <c r="I6" s="1">
        <f>131+84</f>
        <v>215</v>
      </c>
      <c r="J6" s="1">
        <v>61</v>
      </c>
      <c r="K6" s="1">
        <f t="shared" si="0"/>
        <v>6511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21</v>
      </c>
      <c r="L7" s="1"/>
    </row>
    <row r="8" spans="1:12" x14ac:dyDescent="0.3">
      <c r="A8" s="1" t="s">
        <v>15</v>
      </c>
      <c r="B8" s="1" t="s">
        <v>11</v>
      </c>
      <c r="C8" s="1">
        <f>293+786+818+1134</f>
        <v>3031</v>
      </c>
      <c r="D8" s="1">
        <f>670+1116</f>
        <v>1786</v>
      </c>
      <c r="E8" s="1">
        <f>1130+814</f>
        <v>1944</v>
      </c>
      <c r="F8" s="1">
        <f>553+398</f>
        <v>951</v>
      </c>
      <c r="G8" s="1">
        <f>237+163</f>
        <v>400</v>
      </c>
      <c r="H8" s="1">
        <f>125+76</f>
        <v>201</v>
      </c>
      <c r="I8" s="1">
        <f>52+20</f>
        <v>72</v>
      </c>
      <c r="J8" s="1">
        <f>10</f>
        <v>10</v>
      </c>
      <c r="K8" s="1">
        <f t="shared" si="0"/>
        <v>8395</v>
      </c>
      <c r="L8" s="1">
        <f>SUM(K8:K10)</f>
        <v>17864</v>
      </c>
    </row>
    <row r="9" spans="1:12" x14ac:dyDescent="0.3">
      <c r="A9" s="1" t="s">
        <v>15</v>
      </c>
      <c r="B9" s="1" t="s">
        <v>12</v>
      </c>
      <c r="C9" s="1">
        <f>329+748+891+1096</f>
        <v>3064</v>
      </c>
      <c r="D9" s="1">
        <f>817+1207</f>
        <v>2024</v>
      </c>
      <c r="E9" s="1">
        <f>1229+933</f>
        <v>2162</v>
      </c>
      <c r="F9" s="1">
        <f>648+463</f>
        <v>1111</v>
      </c>
      <c r="G9" s="1">
        <f>357+229</f>
        <v>586</v>
      </c>
      <c r="H9" s="1">
        <f>201+120</f>
        <v>321</v>
      </c>
      <c r="I9" s="1">
        <f>90+34</f>
        <v>124</v>
      </c>
      <c r="J9" s="1">
        <f>15</f>
        <v>15</v>
      </c>
      <c r="K9" s="1">
        <f t="shared" si="0"/>
        <v>9407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v>62</v>
      </c>
      <c r="L10" s="1"/>
    </row>
    <row r="11" spans="1:12" x14ac:dyDescent="0.3">
      <c r="A11" s="1" t="s">
        <v>16</v>
      </c>
      <c r="B11" s="1" t="s">
        <v>11</v>
      </c>
      <c r="C11" s="1">
        <f>188+288+535+1095</f>
        <v>2106</v>
      </c>
      <c r="D11" s="1">
        <f>783+951</f>
        <v>1734</v>
      </c>
      <c r="E11" s="1">
        <f>788+406</f>
        <v>1194</v>
      </c>
      <c r="F11" s="1">
        <f>220+143</f>
        <v>363</v>
      </c>
      <c r="G11" s="1">
        <f>113+140</f>
        <v>253</v>
      </c>
      <c r="H11" s="1">
        <f>172+176</f>
        <v>348</v>
      </c>
      <c r="I11" s="1">
        <f>147+109</f>
        <v>256</v>
      </c>
      <c r="J11" s="1">
        <v>61</v>
      </c>
      <c r="K11" s="1">
        <f t="shared" si="0"/>
        <v>6315</v>
      </c>
      <c r="L11" s="1">
        <f>SUM(K11:K13)</f>
        <v>14606</v>
      </c>
    </row>
    <row r="12" spans="1:12" x14ac:dyDescent="0.3">
      <c r="A12" s="1" t="s">
        <v>16</v>
      </c>
      <c r="B12" s="1" t="s">
        <v>12</v>
      </c>
      <c r="C12" s="1">
        <f>186+264+561+1067</f>
        <v>2078</v>
      </c>
      <c r="D12" s="1">
        <f>759+1021</f>
        <v>1780</v>
      </c>
      <c r="E12" s="1">
        <f>939+640</f>
        <v>1579</v>
      </c>
      <c r="F12" s="1">
        <f>397+290</f>
        <v>687</v>
      </c>
      <c r="G12" s="1">
        <f>283+412</f>
        <v>695</v>
      </c>
      <c r="H12" s="1">
        <f>453+376</f>
        <v>829</v>
      </c>
      <c r="I12" s="1">
        <f>321+186</f>
        <v>507</v>
      </c>
      <c r="J12" s="1">
        <f>71</f>
        <v>71</v>
      </c>
      <c r="K12" s="1">
        <f t="shared" si="0"/>
        <v>8226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v>65</v>
      </c>
      <c r="L13" s="1"/>
    </row>
    <row r="14" spans="1:12" x14ac:dyDescent="0.3">
      <c r="A14" s="1" t="s">
        <v>17</v>
      </c>
      <c r="B14" s="1" t="s">
        <v>11</v>
      </c>
      <c r="C14" s="1">
        <f>520+157+282+519</f>
        <v>1478</v>
      </c>
      <c r="D14" s="1">
        <f>369+473</f>
        <v>842</v>
      </c>
      <c r="E14" s="1">
        <f>356+247</f>
        <v>603</v>
      </c>
      <c r="F14" s="1">
        <f>125+106</f>
        <v>231</v>
      </c>
      <c r="G14" s="1">
        <f>53+46</f>
        <v>99</v>
      </c>
      <c r="H14" s="1">
        <f>49+46</f>
        <v>95</v>
      </c>
      <c r="I14" s="1">
        <f>28+21</f>
        <v>49</v>
      </c>
      <c r="J14" s="1">
        <v>13</v>
      </c>
      <c r="K14" s="1">
        <f t="shared" si="0"/>
        <v>3410</v>
      </c>
      <c r="L14" s="1">
        <f>SUM(K14:K16)</f>
        <v>7308</v>
      </c>
    </row>
    <row r="15" spans="1:12" x14ac:dyDescent="0.3">
      <c r="A15" s="1" t="s">
        <v>17</v>
      </c>
      <c r="B15" s="1" t="s">
        <v>12</v>
      </c>
      <c r="C15" s="1">
        <f>579+149+249+455</f>
        <v>1432</v>
      </c>
      <c r="D15" s="1">
        <f>386+430</f>
        <v>816</v>
      </c>
      <c r="E15" s="1">
        <f>436+305</f>
        <v>741</v>
      </c>
      <c r="F15" s="1">
        <f>214+153</f>
        <v>367</v>
      </c>
      <c r="G15" s="1">
        <f>121+108</f>
        <v>229</v>
      </c>
      <c r="H15" s="1">
        <f>101+91</f>
        <v>192</v>
      </c>
      <c r="I15" s="1">
        <f>62+26</f>
        <v>88</v>
      </c>
      <c r="J15" s="1">
        <v>9</v>
      </c>
      <c r="K15" s="1">
        <f t="shared" si="0"/>
        <v>3874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v>24</v>
      </c>
      <c r="L16" s="1"/>
    </row>
    <row r="17" spans="1:12" x14ac:dyDescent="0.3">
      <c r="A17" s="1" t="s">
        <v>18</v>
      </c>
      <c r="B17" s="1" t="s">
        <v>11</v>
      </c>
      <c r="C17" s="1">
        <f>243+297+433+651</f>
        <v>1624</v>
      </c>
      <c r="D17" s="1">
        <f>273+333</f>
        <v>606</v>
      </c>
      <c r="E17" s="1">
        <f>422+405</f>
        <v>827</v>
      </c>
      <c r="F17" s="1">
        <f>297+214</f>
        <v>511</v>
      </c>
      <c r="G17" s="1">
        <f>145+99</f>
        <v>244</v>
      </c>
      <c r="H17" s="1">
        <f>99+83</f>
        <v>182</v>
      </c>
      <c r="I17" s="1">
        <f>43+23</f>
        <v>66</v>
      </c>
      <c r="J17" s="1">
        <v>6</v>
      </c>
      <c r="K17" s="1">
        <f t="shared" si="0"/>
        <v>4066</v>
      </c>
      <c r="L17" s="1">
        <f>SUM(K17:K19)</f>
        <v>9966</v>
      </c>
    </row>
    <row r="18" spans="1:12" x14ac:dyDescent="0.3">
      <c r="A18" s="1" t="s">
        <v>18</v>
      </c>
      <c r="B18" s="1" t="s">
        <v>12</v>
      </c>
      <c r="C18" s="1">
        <f>248+290+438+603</f>
        <v>1579</v>
      </c>
      <c r="D18" s="1">
        <f>426+585</f>
        <v>1011</v>
      </c>
      <c r="E18" s="1">
        <f>708+640</f>
        <v>1348</v>
      </c>
      <c r="F18" s="1">
        <f>488+359</f>
        <v>847</v>
      </c>
      <c r="G18" s="1">
        <f>280+252</f>
        <v>532</v>
      </c>
      <c r="H18" s="1">
        <f>204+178</f>
        <v>382</v>
      </c>
      <c r="I18" s="1">
        <f>102+42</f>
        <v>144</v>
      </c>
      <c r="J18" s="1">
        <f>35</f>
        <v>35</v>
      </c>
      <c r="K18" s="1">
        <f t="shared" si="0"/>
        <v>5878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22</v>
      </c>
      <c r="L19" s="1"/>
    </row>
    <row r="20" spans="1:12" x14ac:dyDescent="0.3">
      <c r="A20" s="1" t="s">
        <v>19</v>
      </c>
      <c r="B20" s="1" t="s">
        <v>11</v>
      </c>
      <c r="C20" s="1">
        <f>117+257+351+517</f>
        <v>1242</v>
      </c>
      <c r="D20" s="1">
        <f>279+406</f>
        <v>685</v>
      </c>
      <c r="E20" s="1">
        <f>394+376</f>
        <v>770</v>
      </c>
      <c r="F20" s="1">
        <f>286+218</f>
        <v>504</v>
      </c>
      <c r="G20" s="1">
        <f>147+108</f>
        <v>255</v>
      </c>
      <c r="H20" s="1">
        <f>109+86</f>
        <v>195</v>
      </c>
      <c r="I20" s="1">
        <f>77+35</f>
        <v>112</v>
      </c>
      <c r="J20" s="1">
        <f>25</f>
        <v>25</v>
      </c>
      <c r="K20" s="1">
        <f t="shared" si="0"/>
        <v>3788</v>
      </c>
      <c r="L20" s="1">
        <f>SUM(K20:K22)</f>
        <v>8438</v>
      </c>
    </row>
    <row r="21" spans="1:12" x14ac:dyDescent="0.3">
      <c r="A21" s="1" t="s">
        <v>19</v>
      </c>
      <c r="B21" s="1" t="s">
        <v>12</v>
      </c>
      <c r="C21" s="1">
        <f>118+214+356+526</f>
        <v>1214</v>
      </c>
      <c r="D21" s="1">
        <f>389+530</f>
        <v>919</v>
      </c>
      <c r="E21" s="1">
        <f>511+406</f>
        <v>917</v>
      </c>
      <c r="F21" s="1">
        <f>377+279</f>
        <v>656</v>
      </c>
      <c r="G21" s="1">
        <f>195+170</f>
        <v>365</v>
      </c>
      <c r="H21" s="1">
        <f>165+160</f>
        <v>325</v>
      </c>
      <c r="I21" s="1">
        <f>120+46</f>
        <v>166</v>
      </c>
      <c r="J21" s="1">
        <v>31</v>
      </c>
      <c r="K21" s="1">
        <f t="shared" si="0"/>
        <v>4593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f>26+28+3</f>
        <v>57</v>
      </c>
      <c r="L22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D490-3E97-448C-9850-794E04FE5462}">
  <sheetPr>
    <outlinePr summaryBelow="0" summaryRight="0"/>
  </sheetPr>
  <dimension ref="A1:L22"/>
  <sheetViews>
    <sheetView tabSelected="1" workbookViewId="0">
      <selection activeCell="C28" sqref="C28"/>
    </sheetView>
  </sheetViews>
  <sheetFormatPr baseColWidth="10" defaultColWidth="14.44140625" defaultRowHeight="15" customHeight="1" x14ac:dyDescent="0.3"/>
  <sheetData>
    <row r="1" spans="1:12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1" t="s">
        <v>10</v>
      </c>
      <c r="B2" s="1" t="s">
        <v>11</v>
      </c>
      <c r="C2" s="1">
        <f>2439+5476+10408+13191</f>
        <v>31514</v>
      </c>
      <c r="D2" s="1">
        <f>7914+10465</f>
        <v>18379</v>
      </c>
      <c r="E2" s="1">
        <f>6278+2874</f>
        <v>9152</v>
      </c>
      <c r="F2" s="1">
        <f>1629+1212</f>
        <v>2841</v>
      </c>
      <c r="G2" s="1">
        <f>1221+1552</f>
        <v>2773</v>
      </c>
      <c r="H2" s="1">
        <f>1896+1692</f>
        <v>3588</v>
      </c>
      <c r="I2" s="1">
        <f>1040+627</f>
        <v>1667</v>
      </c>
      <c r="J2" s="1">
        <v>333</v>
      </c>
      <c r="K2" s="1">
        <f t="shared" ref="K2:K21" si="0">SUM(C2:J2)</f>
        <v>70247</v>
      </c>
      <c r="L2" s="1">
        <f>SUM(K2:K4)</f>
        <v>173919</v>
      </c>
    </row>
    <row r="3" spans="1:12" x14ac:dyDescent="0.3">
      <c r="A3" s="1" t="s">
        <v>10</v>
      </c>
      <c r="B3" s="1" t="s">
        <v>12</v>
      </c>
      <c r="C3" s="1">
        <f>2306+4953+9579+12679</f>
        <v>29517</v>
      </c>
      <c r="D3" s="1">
        <f>8174+13922</f>
        <v>22096</v>
      </c>
      <c r="E3" s="1">
        <f>14612+9588</f>
        <v>24200</v>
      </c>
      <c r="F3" s="1">
        <f>6436+4561</f>
        <v>10997</v>
      </c>
      <c r="G3" s="1">
        <f>4016+4057</f>
        <v>8073</v>
      </c>
      <c r="H3" s="1">
        <f>3435+2488</f>
        <v>5923</v>
      </c>
      <c r="I3" s="1">
        <f>1388+611</f>
        <v>1999</v>
      </c>
      <c r="J3" s="1">
        <v>327</v>
      </c>
      <c r="K3" s="1">
        <f t="shared" si="0"/>
        <v>103132</v>
      </c>
      <c r="L3" s="1"/>
    </row>
    <row r="4" spans="1:12" x14ac:dyDescent="0.3">
      <c r="A4" s="1" t="s">
        <v>10</v>
      </c>
      <c r="B4" s="1" t="s">
        <v>13</v>
      </c>
      <c r="C4" s="1"/>
      <c r="D4" s="1"/>
      <c r="E4" s="1"/>
      <c r="F4" s="1"/>
      <c r="G4" s="1"/>
      <c r="H4" s="1"/>
      <c r="I4" s="1"/>
      <c r="J4" s="1"/>
      <c r="K4" s="1">
        <f>194+278+68</f>
        <v>540</v>
      </c>
      <c r="L4" s="1"/>
    </row>
    <row r="5" spans="1:12" x14ac:dyDescent="0.3">
      <c r="A5" s="1" t="s">
        <v>14</v>
      </c>
      <c r="B5" s="1" t="s">
        <v>11</v>
      </c>
      <c r="C5" s="1">
        <f>205+551+751+567</f>
        <v>2074</v>
      </c>
      <c r="D5" s="1">
        <f>665+1340</f>
        <v>2005</v>
      </c>
      <c r="E5" s="1">
        <f>1669+1592</f>
        <v>3261</v>
      </c>
      <c r="F5" s="1">
        <f>896+841</f>
        <v>1737</v>
      </c>
      <c r="G5" s="1">
        <f>674+534</f>
        <v>1208</v>
      </c>
      <c r="H5" s="1">
        <f>278+200</f>
        <v>478</v>
      </c>
      <c r="I5" s="1">
        <f>115+62</f>
        <v>177</v>
      </c>
      <c r="J5" s="1">
        <v>48</v>
      </c>
      <c r="K5" s="1">
        <f t="shared" si="0"/>
        <v>10988</v>
      </c>
      <c r="L5" s="1">
        <f>SUM(K5:K7)</f>
        <v>20831</v>
      </c>
    </row>
    <row r="6" spans="1:12" x14ac:dyDescent="0.3">
      <c r="A6" s="1" t="s">
        <v>14</v>
      </c>
      <c r="B6" s="1" t="s">
        <v>12</v>
      </c>
      <c r="C6" s="1">
        <f>194+561+727+598</f>
        <v>2080</v>
      </c>
      <c r="D6" s="1">
        <f>750+1172</f>
        <v>1922</v>
      </c>
      <c r="E6" s="1">
        <f>1189+1251</f>
        <v>2440</v>
      </c>
      <c r="F6" s="1">
        <f>705+777</f>
        <v>1482</v>
      </c>
      <c r="G6" s="1">
        <f>646+420</f>
        <v>1066</v>
      </c>
      <c r="H6" s="1">
        <f>319+198</f>
        <v>517</v>
      </c>
      <c r="I6" s="1">
        <f>146+99</f>
        <v>245</v>
      </c>
      <c r="J6" s="1">
        <v>72</v>
      </c>
      <c r="K6" s="1">
        <f t="shared" si="0"/>
        <v>9824</v>
      </c>
      <c r="L6" s="1"/>
    </row>
    <row r="7" spans="1:12" x14ac:dyDescent="0.3">
      <c r="A7" s="1" t="s">
        <v>14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>
        <v>19</v>
      </c>
      <c r="L7" s="1"/>
    </row>
    <row r="8" spans="1:12" x14ac:dyDescent="0.3">
      <c r="A8" s="1" t="s">
        <v>15</v>
      </c>
      <c r="B8" s="1" t="s">
        <v>11</v>
      </c>
      <c r="C8" s="1">
        <f>216+582+745+1033</f>
        <v>2576</v>
      </c>
      <c r="D8" s="1">
        <f>723+958</f>
        <v>1681</v>
      </c>
      <c r="E8" s="1">
        <f>1139+874</f>
        <v>2013</v>
      </c>
      <c r="F8" s="1">
        <f>632+378</f>
        <v>1010</v>
      </c>
      <c r="G8" s="1">
        <f>292+188</f>
        <v>480</v>
      </c>
      <c r="H8" s="1">
        <f>130+104</f>
        <v>234</v>
      </c>
      <c r="I8" s="1">
        <f>68+24</f>
        <v>92</v>
      </c>
      <c r="J8" s="1">
        <v>10</v>
      </c>
      <c r="K8" s="1">
        <f t="shared" si="0"/>
        <v>8096</v>
      </c>
      <c r="L8" s="1">
        <f>SUM(K8:K10)</f>
        <v>17536</v>
      </c>
    </row>
    <row r="9" spans="1:12" x14ac:dyDescent="0.3">
      <c r="A9" s="1" t="s">
        <v>15</v>
      </c>
      <c r="B9" s="1" t="s">
        <v>12</v>
      </c>
      <c r="C9" s="1">
        <f>230+633+737+961</f>
        <v>2561</v>
      </c>
      <c r="D9" s="1">
        <f>803+1231</f>
        <v>2034</v>
      </c>
      <c r="E9" s="1">
        <f>1299+1069</f>
        <v>2368</v>
      </c>
      <c r="F9" s="1">
        <f>747+533</f>
        <v>1280</v>
      </c>
      <c r="G9" s="1">
        <f>405+255</f>
        <v>660</v>
      </c>
      <c r="H9" s="1">
        <f>207+147</f>
        <v>354</v>
      </c>
      <c r="I9" s="1">
        <f>82+37</f>
        <v>119</v>
      </c>
      <c r="J9" s="1">
        <f>13</f>
        <v>13</v>
      </c>
      <c r="K9" s="1">
        <f t="shared" si="0"/>
        <v>9389</v>
      </c>
      <c r="L9" s="1"/>
    </row>
    <row r="10" spans="1:12" x14ac:dyDescent="0.3">
      <c r="A10" s="1" t="s">
        <v>15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>
        <v>51</v>
      </c>
      <c r="L10" s="1"/>
    </row>
    <row r="11" spans="1:12" x14ac:dyDescent="0.3">
      <c r="A11" s="1" t="s">
        <v>16</v>
      </c>
      <c r="B11" s="1" t="s">
        <v>11</v>
      </c>
      <c r="C11" s="1">
        <f>204+316+579+1240</f>
        <v>2339</v>
      </c>
      <c r="D11" s="1">
        <f>968+1607</f>
        <v>2575</v>
      </c>
      <c r="E11" s="1">
        <f>2005+1143</f>
        <v>3148</v>
      </c>
      <c r="F11" s="1">
        <f>648+409</f>
        <v>1057</v>
      </c>
      <c r="G11" s="1">
        <f>305+221</f>
        <v>526</v>
      </c>
      <c r="H11" s="1">
        <f>214+176</f>
        <v>390</v>
      </c>
      <c r="I11" s="1">
        <f>133+105</f>
        <v>238</v>
      </c>
      <c r="J11" s="1">
        <v>59</v>
      </c>
      <c r="K11" s="1">
        <f t="shared" si="0"/>
        <v>10332</v>
      </c>
      <c r="L11" s="1">
        <f>SUM(K11:K13)</f>
        <v>22578</v>
      </c>
    </row>
    <row r="12" spans="1:12" x14ac:dyDescent="0.3">
      <c r="A12" s="1" t="s">
        <v>16</v>
      </c>
      <c r="B12" s="1" t="s">
        <v>12</v>
      </c>
      <c r="C12" s="1">
        <f>214+312+579+1152</f>
        <v>2257</v>
      </c>
      <c r="D12" s="1">
        <f>988+1553</f>
        <v>2541</v>
      </c>
      <c r="E12" s="1">
        <f>1967+1419</f>
        <v>3386</v>
      </c>
      <c r="F12" s="1">
        <f>978+660</f>
        <v>1638</v>
      </c>
      <c r="G12" s="1">
        <f>476+438</f>
        <v>914</v>
      </c>
      <c r="H12" s="1">
        <f>473+388</f>
        <v>861</v>
      </c>
      <c r="I12" s="1">
        <f>328+166</f>
        <v>494</v>
      </c>
      <c r="J12" s="1">
        <v>95</v>
      </c>
      <c r="K12" s="1">
        <f t="shared" si="0"/>
        <v>12186</v>
      </c>
      <c r="L12" s="1"/>
    </row>
    <row r="13" spans="1:12" x14ac:dyDescent="0.3">
      <c r="A13" s="1" t="s">
        <v>16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>
        <f>27+28+5</f>
        <v>60</v>
      </c>
      <c r="L13" s="1"/>
    </row>
    <row r="14" spans="1:12" x14ac:dyDescent="0.3">
      <c r="A14" s="1" t="s">
        <v>17</v>
      </c>
      <c r="B14" s="1" t="s">
        <v>11</v>
      </c>
      <c r="C14" s="1">
        <f>741+143+276+566</f>
        <v>1726</v>
      </c>
      <c r="D14" s="1">
        <f>419+686</f>
        <v>1105</v>
      </c>
      <c r="E14" s="1">
        <f>745+469</f>
        <v>1214</v>
      </c>
      <c r="F14" s="1">
        <f>249+161</f>
        <v>410</v>
      </c>
      <c r="G14" s="1">
        <f>105+62</f>
        <v>167</v>
      </c>
      <c r="H14" s="1">
        <f>57+37</f>
        <v>94</v>
      </c>
      <c r="I14" s="1">
        <f>29+18</f>
        <v>47</v>
      </c>
      <c r="J14" s="1">
        <v>7</v>
      </c>
      <c r="K14" s="1">
        <f t="shared" si="0"/>
        <v>4770</v>
      </c>
      <c r="L14" s="1">
        <f>SUM(K14:K16)</f>
        <v>9970</v>
      </c>
    </row>
    <row r="15" spans="1:12" x14ac:dyDescent="0.3">
      <c r="A15" s="1" t="s">
        <v>17</v>
      </c>
      <c r="B15" s="1" t="s">
        <v>12</v>
      </c>
      <c r="C15" s="1">
        <f>852+150+283+507</f>
        <v>1792</v>
      </c>
      <c r="D15" s="1">
        <f>417+570</f>
        <v>987</v>
      </c>
      <c r="E15" s="1">
        <f>661+549</f>
        <v>1210</v>
      </c>
      <c r="F15" s="1">
        <f>364+222</f>
        <v>586</v>
      </c>
      <c r="G15" s="1">
        <f>152+115</f>
        <v>267</v>
      </c>
      <c r="H15" s="1">
        <f>120+88</f>
        <v>208</v>
      </c>
      <c r="I15" s="1">
        <f>64+26</f>
        <v>90</v>
      </c>
      <c r="J15" s="1">
        <v>15</v>
      </c>
      <c r="K15" s="1">
        <f t="shared" si="0"/>
        <v>5155</v>
      </c>
      <c r="L15" s="1"/>
    </row>
    <row r="16" spans="1:12" x14ac:dyDescent="0.3">
      <c r="A16" s="1" t="s">
        <v>17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>
        <f>17+21+7</f>
        <v>45</v>
      </c>
      <c r="L16" s="1"/>
    </row>
    <row r="17" spans="1:12" x14ac:dyDescent="0.3">
      <c r="A17" s="1" t="s">
        <v>18</v>
      </c>
      <c r="B17" s="1" t="s">
        <v>11</v>
      </c>
      <c r="C17" s="1">
        <f>301+367+500+701</f>
        <v>1869</v>
      </c>
      <c r="D17" s="1">
        <f>433+512</f>
        <v>945</v>
      </c>
      <c r="E17" s="1">
        <f>630+597</f>
        <v>1227</v>
      </c>
      <c r="F17" s="1">
        <f>438+289</f>
        <v>727</v>
      </c>
      <c r="G17" s="1">
        <f>244+199</f>
        <v>443</v>
      </c>
      <c r="H17" s="1">
        <f>147+118</f>
        <v>265</v>
      </c>
      <c r="I17" s="1">
        <f>71+34</f>
        <v>105</v>
      </c>
      <c r="J17" s="1">
        <f>14</f>
        <v>14</v>
      </c>
      <c r="K17" s="1">
        <f t="shared" si="0"/>
        <v>5595</v>
      </c>
      <c r="L17" s="1">
        <f>SUM(K17:K19)</f>
        <v>14498</v>
      </c>
    </row>
    <row r="18" spans="1:12" x14ac:dyDescent="0.3">
      <c r="A18" s="1" t="s">
        <v>18</v>
      </c>
      <c r="B18" s="1" t="s">
        <v>12</v>
      </c>
      <c r="C18" s="1">
        <f>295+363+485+726</f>
        <v>1869</v>
      </c>
      <c r="D18" s="1">
        <f>724+1005</f>
        <v>1729</v>
      </c>
      <c r="E18" s="1">
        <f>1173+1136</f>
        <v>2309</v>
      </c>
      <c r="F18" s="1">
        <f>843+581</f>
        <v>1424</v>
      </c>
      <c r="G18" s="1">
        <f>448+337</f>
        <v>785</v>
      </c>
      <c r="H18" s="1">
        <f>289+209</f>
        <v>498</v>
      </c>
      <c r="I18" s="1">
        <f>145+55</f>
        <v>200</v>
      </c>
      <c r="J18" s="1">
        <v>43</v>
      </c>
      <c r="K18" s="1">
        <f t="shared" si="0"/>
        <v>8857</v>
      </c>
      <c r="L18" s="1"/>
    </row>
    <row r="19" spans="1:12" x14ac:dyDescent="0.3">
      <c r="A19" s="1" t="s">
        <v>18</v>
      </c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>
        <v>46</v>
      </c>
      <c r="L19" s="1"/>
    </row>
    <row r="20" spans="1:12" x14ac:dyDescent="0.3">
      <c r="A20" s="1" t="s">
        <v>19</v>
      </c>
      <c r="B20" s="1" t="s">
        <v>11</v>
      </c>
      <c r="C20" s="1">
        <f>104+193+339+493</f>
        <v>1129</v>
      </c>
      <c r="D20" s="1">
        <f>288+401</f>
        <v>689</v>
      </c>
      <c r="E20" s="1">
        <f>487+476</f>
        <v>963</v>
      </c>
      <c r="F20" s="1">
        <f>327+276</f>
        <v>603</v>
      </c>
      <c r="G20" s="1">
        <f>200+130</f>
        <v>330</v>
      </c>
      <c r="H20" s="1">
        <f>135+94</f>
        <v>229</v>
      </c>
      <c r="I20" s="1">
        <f>74+44</f>
        <v>118</v>
      </c>
      <c r="J20" s="1">
        <v>28</v>
      </c>
      <c r="K20" s="1">
        <f t="shared" si="0"/>
        <v>4089</v>
      </c>
      <c r="L20" s="1">
        <f>SUM(K20:K22)</f>
        <v>9613</v>
      </c>
    </row>
    <row r="21" spans="1:12" x14ac:dyDescent="0.3">
      <c r="A21" s="1" t="s">
        <v>19</v>
      </c>
      <c r="B21" s="1" t="s">
        <v>12</v>
      </c>
      <c r="C21" s="1">
        <f>115+224+337+472</f>
        <v>1148</v>
      </c>
      <c r="D21" s="1">
        <f>441+673</f>
        <v>1114</v>
      </c>
      <c r="E21" s="1">
        <f>674+613</f>
        <v>1287</v>
      </c>
      <c r="F21" s="1">
        <f>465+390</f>
        <v>855</v>
      </c>
      <c r="G21" s="1">
        <f>239+251</f>
        <v>490</v>
      </c>
      <c r="H21" s="1">
        <f>191+182</f>
        <v>373</v>
      </c>
      <c r="I21" s="1">
        <f>105+51</f>
        <v>156</v>
      </c>
      <c r="J21" s="1">
        <v>46</v>
      </c>
      <c r="K21" s="1">
        <f t="shared" si="0"/>
        <v>5469</v>
      </c>
      <c r="L21" s="1"/>
    </row>
    <row r="22" spans="1:12" x14ac:dyDescent="0.3">
      <c r="A22" s="1" t="s">
        <v>19</v>
      </c>
      <c r="B22" s="1" t="s">
        <v>13</v>
      </c>
      <c r="C22" s="1"/>
      <c r="D22" s="1"/>
      <c r="E22" s="1"/>
      <c r="F22" s="1"/>
      <c r="G22" s="1"/>
      <c r="H22" s="1"/>
      <c r="I22" s="1"/>
      <c r="J22" s="1"/>
      <c r="K22" s="1">
        <f>28+27</f>
        <v>55</v>
      </c>
      <c r="L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Angel Augusto Sánchez Pajuelo</dc:creator>
  <cp:lastModifiedBy>Kai Angel Augusto Sánchez Pajuelo</cp:lastModifiedBy>
  <dcterms:created xsi:type="dcterms:W3CDTF">2025-10-22T09:37:58Z</dcterms:created>
  <dcterms:modified xsi:type="dcterms:W3CDTF">2025-11-21T08:22:18Z</dcterms:modified>
</cp:coreProperties>
</file>